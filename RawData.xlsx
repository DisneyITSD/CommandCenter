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196" documentId="8_{3D986408-3F70-4028-ABB2-0B6A1225D05C}" xr6:coauthVersionLast="47" xr6:coauthVersionMax="47" xr10:uidLastSave="{5764176B-32E1-474B-B3D3-A21E70E1F8B8}"/>
  <bookViews>
    <workbookView xWindow="28680" yWindow="-120" windowWidth="29040" windowHeight="15720" activeTab="2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D2" i="3"/>
</calcChain>
</file>

<file path=xl/sharedStrings.xml><?xml version="1.0" encoding="utf-8"?>
<sst xmlns="http://schemas.openxmlformats.org/spreadsheetml/2006/main" count="682" uniqueCount="128">
  <si>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</si>
  <si>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</si>
  <si>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</si>
  <si>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</si>
  <si>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</si>
  <si>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</si>
  <si>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</si>
  <si>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</si>
  <si>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</si>
  <si>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</si>
  <si>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</si>
  <si>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</si>
  <si>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</si>
  <si>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</si>
  <si>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</si>
  <si>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</si>
  <si>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</si>
  <si>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</si>
  <si>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</si>
  <si>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</si>
  <si>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</si>
  <si>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</si>
  <si>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</si>
  <si>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</si>
  <si>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</si>
  <si>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</si>
  <si>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</si>
  <si>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</si>
  <si>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</si>
  <si>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</si>
  <si>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</si>
  <si>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</si>
  <si>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</si>
  <si>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</si>
  <si>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</si>
  <si>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</si>
  <si>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</si>
  <si>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</si>
  <si>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</si>
  <si>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</si>
  <si>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</si>
  <si>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</si>
  <si>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</si>
  <si>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</si>
  <si>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</si>
  <si>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</si>
  <si>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</si>
  <si>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</si>
  <si>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</si>
  <si>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</si>
  <si>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</si>
  <si>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</si>
  <si>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</si>
  <si>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</si>
  <si>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</si>
  <si>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</si>
  <si>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</si>
  <si>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</si>
  <si>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</si>
  <si>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</si>
  <si>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</si>
  <si>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</si>
  <si>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</si>
  <si>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</si>
  <si>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</si>
  <si>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</si>
  <si>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</si>
  <si>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</si>
  <si>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</si>
  <si>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</si>
  <si>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</si>
  <si>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</si>
  <si>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</si>
  <si>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</si>
  <si>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</si>
  <si>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</si>
  <si>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</si>
  <si>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</si>
  <si>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</si>
  <si>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</si>
  <si>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</si>
  <si>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</si>
  <si>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</si>
  <si>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</si>
  <si>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</si>
  <si>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</si>
  <si>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</si>
  <si>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</si>
  <si>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</si>
  <si>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</si>
  <si>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</si>
  <si>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</si>
  <si>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</si>
  <si>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</si>
  <si>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</si>
  <si>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</si>
  <si>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</si>
  <si>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</si>
  <si>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</si>
  <si>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</si>
  <si>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</si>
  <si>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</si>
  <si>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</si>
  <si>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</si>
  <si>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</si>
  <si>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</si>
  <si>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</si>
  <si>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</si>
  <si>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</si>
  <si>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</si>
  <si>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</si>
  <si>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</si>
  <si>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</si>
  <si>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</si>
  <si>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</si>
  <si>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</si>
  <si>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</si>
  <si>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</si>
  <si>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</si>
  <si>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</si>
  <si>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</si>
  <si>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</si>
  <si>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Date</t>
  </si>
  <si>
    <t>Reason</t>
  </si>
  <si>
    <t>Called Off</t>
  </si>
  <si>
    <t>PTO</t>
  </si>
  <si>
    <t>CLEENDY CERILLA</t>
  </si>
  <si>
    <t>Running Late (No ETA)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</si>
</sst>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</cellXfs>
  <cellStyles count="1">
    <cellStyle name="Normal" xfId="0" builtinId="0"/>
  </cellStyles>
  <dxfs count="4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opLeftCell="A21" zoomScale="115" zoomScaleNormal="115" workbookViewId="0">
      <selection activeCell="A23" sqref="A23"/>
    </sheetView>
  </sheetViews>
  <sheetFormatPr defaultRowHeight="15" x14ac:dyDescent="0.25"/>
  <cols>
    <col min="1" max="1" width="31" customWidth="1"/>
    <col min="2" max="2" width="11.42578125" customWidth="1"/>
    <col min="3" max="8" width="11.42578125" bestFit="1" customWidth="1"/>
    <col min="9" max="9" width="13.7109375" bestFit="1" customWidth="1"/>
    <col min="10" max="11" width="7.140625" bestFit="1" customWidth="1"/>
    <col min="12" max="12" width="5.85546875" bestFit="1" customWidth="1"/>
    <col min="13" max="13" width="7.140625" bestFit="1" customWidth="1"/>
    <col min="14" max="14" width="17.28515625" bestFit="1" customWidth="1"/>
    <col min="16" max="16" width="15.85546875" customWidth="1"/>
  </cols>
  <sheetData>
    <row r="1" spans="1:14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25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25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25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25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25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25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25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25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25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25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25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25">
      <c r="A13" s="10" t="s">
        <v>126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25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25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25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25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25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25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</row>
    <row r="20" spans="1:14" x14ac:dyDescent="0.25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</row>
    <row r="21" spans="1:14" x14ac:dyDescent="0.25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</row>
    <row r="22" spans="1:14" x14ac:dyDescent="0.25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</row>
    <row r="23" spans="1:14" x14ac:dyDescent="0.25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</row>
    <row r="24" spans="1:14" x14ac:dyDescent="0.25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</row>
    <row r="25" spans="1:14" x14ac:dyDescent="0.25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</row>
    <row r="26" spans="1:14" x14ac:dyDescent="0.25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</row>
    <row r="27" spans="1:14" x14ac:dyDescent="0.25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</row>
    <row r="28" spans="1:14" x14ac:dyDescent="0.25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</row>
    <row r="29" spans="1:14" x14ac:dyDescent="0.25">
      <c r="A29" s="16" t="s">
        <v>90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</row>
    <row r="30" spans="1:14" x14ac:dyDescent="0.25">
      <c r="A30" s="10" t="s">
        <v>91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</row>
    <row r="31" spans="1:14" x14ac:dyDescent="0.25">
      <c r="A31" s="16" t="s">
        <v>92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</row>
    <row r="32" spans="1:14" x14ac:dyDescent="0.25">
      <c r="A32" s="16" t="s">
        <v>93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</row>
    <row r="33" spans="1:14" x14ac:dyDescent="0.25">
      <c r="A33" s="11" t="s">
        <v>94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</row>
    <row r="34" spans="1:14" x14ac:dyDescent="0.25">
      <c r="A34" s="16" t="s">
        <v>95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</row>
    <row r="35" spans="1:14" x14ac:dyDescent="0.25">
      <c r="A35" s="11" t="s">
        <v>96</v>
      </c>
      <c r="B35" s="5" t="s">
        <v>15</v>
      </c>
      <c r="C35" s="5" t="s">
        <v>15</v>
      </c>
      <c r="D35" s="13" t="s">
        <v>42</v>
      </c>
      <c r="E35" s="13" t="s">
        <v>42</v>
      </c>
      <c r="F35" s="13" t="s">
        <v>42</v>
      </c>
      <c r="G35" s="13" t="s">
        <v>42</v>
      </c>
      <c r="H35" s="5" t="s">
        <v>15</v>
      </c>
      <c r="I35" s="6" t="s">
        <v>36</v>
      </c>
      <c r="J35" s="7">
        <v>0.34375</v>
      </c>
      <c r="K35" s="7">
        <v>0.53125</v>
      </c>
      <c r="L35" s="7">
        <v>0.41666666666666669</v>
      </c>
      <c r="M35" s="7">
        <v>0.625</v>
      </c>
      <c r="N35" s="8" t="s">
        <v>32</v>
      </c>
    </row>
    <row r="36" spans="1:14" x14ac:dyDescent="0.25">
      <c r="A36" s="16" t="s">
        <v>97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</row>
    <row r="37" spans="1:14" x14ac:dyDescent="0.25">
      <c r="A37" s="11" t="s">
        <v>98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</row>
    <row r="38" spans="1:14" x14ac:dyDescent="0.25">
      <c r="A38" s="11" t="s">
        <v>99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</row>
    <row r="39" spans="1:14" x14ac:dyDescent="0.25">
      <c r="A39" s="11" t="s">
        <v>100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</row>
    <row r="40" spans="1:14" x14ac:dyDescent="0.25">
      <c r="A40" s="16" t="s">
        <v>101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</row>
    <row r="41" spans="1:14" x14ac:dyDescent="0.25">
      <c r="A41" s="11" t="s">
        <v>102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</row>
    <row r="42" spans="1:14" x14ac:dyDescent="0.25">
      <c r="A42" s="11" t="s">
        <v>103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</row>
    <row r="43" spans="1:14" x14ac:dyDescent="0.25">
      <c r="A43" s="11" t="s">
        <v>104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</row>
    <row r="44" spans="1:14" x14ac:dyDescent="0.25">
      <c r="A44" s="16" t="s">
        <v>105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</row>
    <row r="45" spans="1:14" x14ac:dyDescent="0.25">
      <c r="A45" s="10" t="s">
        <v>106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</row>
    <row r="46" spans="1:14" x14ac:dyDescent="0.25">
      <c r="A46" s="16" t="s">
        <v>107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</row>
    <row r="47" spans="1:14" x14ac:dyDescent="0.25">
      <c r="A47" s="10" t="s">
        <v>108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</row>
    <row r="48" spans="1:14" x14ac:dyDescent="0.25">
      <c r="A48" s="16" t="s">
        <v>109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</row>
    <row r="49" spans="1:14" x14ac:dyDescent="0.25">
      <c r="A49" s="10" t="s">
        <v>110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</row>
    <row r="50" spans="1:14" x14ac:dyDescent="0.25">
      <c r="A50" s="11" t="s">
        <v>111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</row>
    <row r="51" spans="1:14" x14ac:dyDescent="0.25">
      <c r="A51" s="10" t="s">
        <v>112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</row>
    <row r="52" spans="1:14" x14ac:dyDescent="0.25">
      <c r="A52" s="11" t="s">
        <v>113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</row>
    <row r="53" spans="1:14" x14ac:dyDescent="0.25">
      <c r="A53" s="16" t="s">
        <v>114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</row>
    <row r="54" spans="1:14" x14ac:dyDescent="0.25">
      <c r="A54" s="30" t="s">
        <v>115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</row>
    <row r="55" spans="1:14" x14ac:dyDescent="0.25">
      <c r="A55" s="11" t="s">
        <v>116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</row>
    <row r="56" spans="1:14" x14ac:dyDescent="0.25">
      <c r="A56" s="10" t="s">
        <v>117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</row>
    <row r="57" spans="1:14" x14ac:dyDescent="0.25">
      <c r="A57" s="16" t="s">
        <v>118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</row>
    <row r="58" spans="1:14" x14ac:dyDescent="0.25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</row>
    <row r="59" spans="1:14" x14ac:dyDescent="0.25">
      <c r="A59" s="11" t="s">
        <v>119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25">
      <c r="A60" s="11" t="s">
        <v>120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25">
      <c r="A61" s="11" t="s">
        <v>121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3" priority="1" operator="equal">
      <formula>"OFF"</formula>
    </cfRule>
  </conditionalFormatting>
  <conditionalFormatting sqref="I57:I58">
    <cfRule type="cellIs" dxfId="2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29"/>
  <sheetViews>
    <sheetView workbookViewId="0">
      <selection activeCell="B18" sqref="B18"/>
    </sheetView>
  </sheetViews>
  <sheetFormatPr defaultRowHeight="15" x14ac:dyDescent="0.25"/>
  <cols>
    <col min="1" max="1" width="26.7109375" customWidth="1"/>
    <col min="2" max="2" width="17.7109375" style="29" customWidth="1"/>
    <col min="3" max="3" width="14.5703125" customWidth="1"/>
    <col min="4" max="4" width="14.28515625" customWidth="1"/>
  </cols>
  <sheetData>
    <row r="1" spans="1:4" ht="17.25" thickBot="1" x14ac:dyDescent="0.3">
      <c r="A1" s="24" t="s">
        <v>0</v>
      </c>
      <c r="B1" s="28" t="s">
        <v>122</v>
      </c>
      <c r="C1" s="24" t="s">
        <v>123</v>
      </c>
      <c r="D1" s="24" t="s">
        <v>13</v>
      </c>
    </row>
    <row r="2" spans="1:4" x14ac:dyDescent="0.25">
      <c r="A2" s="16" t="s">
        <v>87</v>
      </c>
      <c r="B2" s="29">
        <v>46315</v>
      </c>
      <c r="C2" t="s">
        <v>125</v>
      </c>
      <c r="D2" t="str">
        <f>VLOOKUP(A2,Sheet1!A:N,14,FALSE)</f>
        <v>Christopher Rodas</v>
      </c>
    </row>
    <row r="3" spans="1:4" x14ac:dyDescent="0.25">
      <c r="A3" t="s">
        <v>69</v>
      </c>
      <c r="B3" s="29">
        <v>46315</v>
      </c>
      <c r="C3" t="s">
        <v>125</v>
      </c>
      <c r="D3" t="str">
        <f>VLOOKUP(A3,Sheet1!A:N,14,FALSE)</f>
        <v>Michael Dominguez</v>
      </c>
    </row>
    <row r="4" spans="1:4" x14ac:dyDescent="0.25">
      <c r="A4" t="s">
        <v>63</v>
      </c>
      <c r="B4" s="29">
        <v>46315</v>
      </c>
      <c r="C4" t="s">
        <v>125</v>
      </c>
      <c r="D4" t="str">
        <f>VLOOKUP(A4,Sheet1!A:N,14,FALSE)</f>
        <v>Remmo Panaligan</v>
      </c>
    </row>
    <row r="5" spans="1:4" x14ac:dyDescent="0.25">
      <c r="A5" t="s">
        <v>80</v>
      </c>
      <c r="B5" s="29">
        <v>46316</v>
      </c>
      <c r="C5" t="s">
        <v>125</v>
      </c>
      <c r="D5" t="str">
        <f>VLOOKUP(A5,Sheet1!A:N,14,FALSE)</f>
        <v>Michael Dominguez</v>
      </c>
    </row>
    <row r="6" spans="1:4" x14ac:dyDescent="0.25">
      <c r="A6" t="s">
        <v>95</v>
      </c>
      <c r="B6" s="29">
        <v>46317</v>
      </c>
      <c r="C6" t="s">
        <v>125</v>
      </c>
      <c r="D6" t="str">
        <f>VLOOKUP(A6,Sheet1!A:N,14,FALSE)</f>
        <v>Manilyn Abellar</v>
      </c>
    </row>
    <row r="7" spans="1:4" x14ac:dyDescent="0.25">
      <c r="A7" t="s">
        <v>72</v>
      </c>
      <c r="B7" s="29">
        <v>46317</v>
      </c>
      <c r="C7" t="s">
        <v>125</v>
      </c>
      <c r="D7" t="str">
        <f>VLOOKUP(A7,Sheet1!A:N,14,FALSE)</f>
        <v>Anmecha Valencia</v>
      </c>
    </row>
    <row r="8" spans="1:4" x14ac:dyDescent="0.25">
      <c r="A8" t="s">
        <v>80</v>
      </c>
      <c r="B8" s="29">
        <v>46317</v>
      </c>
      <c r="C8" t="s">
        <v>125</v>
      </c>
      <c r="D8" t="str">
        <f>VLOOKUP(A8,Sheet1!A:N,14,FALSE)</f>
        <v>Michael Dominguez</v>
      </c>
    </row>
    <row r="9" spans="1:4" x14ac:dyDescent="0.25">
      <c r="A9" t="s">
        <v>78</v>
      </c>
      <c r="B9" s="29">
        <v>46318</v>
      </c>
      <c r="C9" t="s">
        <v>125</v>
      </c>
      <c r="D9" t="str">
        <f>VLOOKUP(A9,Sheet1!A:N,14,FALSE)</f>
        <v>Anmecha Valencia</v>
      </c>
    </row>
    <row r="10" spans="1:4" x14ac:dyDescent="0.25">
      <c r="A10" t="s">
        <v>73</v>
      </c>
      <c r="B10" s="29">
        <v>46318</v>
      </c>
      <c r="C10" t="s">
        <v>125</v>
      </c>
      <c r="D10" t="str">
        <f>VLOOKUP(A10,Sheet1!A:N,14,FALSE)</f>
        <v>Michael Dominguez</v>
      </c>
    </row>
    <row r="11" spans="1:4" x14ac:dyDescent="0.25">
      <c r="A11" t="s">
        <v>116</v>
      </c>
      <c r="B11" s="29">
        <v>46318</v>
      </c>
      <c r="C11" t="s">
        <v>125</v>
      </c>
      <c r="D11" t="str">
        <f>VLOOKUP(A11,Sheet1!A:N,14,FALSE)</f>
        <v>Anmecha Valencia</v>
      </c>
    </row>
    <row r="12" spans="1:4" x14ac:dyDescent="0.25">
      <c r="A12" t="s">
        <v>108</v>
      </c>
      <c r="B12" s="29">
        <v>46320</v>
      </c>
      <c r="C12" t="s">
        <v>125</v>
      </c>
      <c r="D12" t="str">
        <f>VLOOKUP(A12,Sheet1!A:N,14,FALSE)</f>
        <v>Remmo Panaligan</v>
      </c>
    </row>
    <row r="13" spans="1:4" x14ac:dyDescent="0.25">
      <c r="A13" t="s">
        <v>118</v>
      </c>
      <c r="B13" s="29">
        <v>46321</v>
      </c>
      <c r="C13" t="s">
        <v>125</v>
      </c>
      <c r="D13" t="str">
        <f>VLOOKUP(A13,Sheet1!A:N,14,FALSE)</f>
        <v>Michael Dominguez</v>
      </c>
    </row>
    <row r="14" spans="1:4" x14ac:dyDescent="0.25">
      <c r="A14" t="s">
        <v>93</v>
      </c>
      <c r="B14" s="29">
        <v>46321</v>
      </c>
      <c r="C14" t="s">
        <v>125</v>
      </c>
      <c r="D14" t="str">
        <f>VLOOKUP(A14,Sheet1!A:N,14,FALSE)</f>
        <v>Remmo Panaligan</v>
      </c>
    </row>
    <row r="15" spans="1:4" x14ac:dyDescent="0.25">
      <c r="A15" t="s">
        <v>86</v>
      </c>
      <c r="B15" s="29">
        <v>46321</v>
      </c>
      <c r="C15" t="s">
        <v>125</v>
      </c>
      <c r="D15" t="str">
        <f>VLOOKUP(A15,Sheet1!A:N,14,FALSE)</f>
        <v>Remmo Panaligan</v>
      </c>
    </row>
    <row r="16" spans="1:4" x14ac:dyDescent="0.25">
      <c r="A16" t="s">
        <v>78</v>
      </c>
      <c r="B16" s="29">
        <v>46321</v>
      </c>
      <c r="C16" t="s">
        <v>125</v>
      </c>
      <c r="D16" t="str">
        <f>VLOOKUP(A16,Sheet1!A:N,14,FALSE)</f>
        <v>Anmecha Valencia</v>
      </c>
    </row>
    <row r="17" spans="1:4" x14ac:dyDescent="0.25">
      <c r="A17" t="s">
        <v>118</v>
      </c>
      <c r="B17" s="29">
        <v>46322</v>
      </c>
      <c r="C17" t="s">
        <v>125</v>
      </c>
      <c r="D17" t="str">
        <f>VLOOKUP(A17,Sheet1!A:N,14,FALSE)</f>
        <v>Michael Dominguez</v>
      </c>
    </row>
    <row r="18" spans="1:4" x14ac:dyDescent="0.25">
      <c r="A18" t="s">
        <v>93</v>
      </c>
      <c r="B18" s="29">
        <v>46322</v>
      </c>
      <c r="C18" t="s">
        <v>125</v>
      </c>
      <c r="D18" t="str">
        <f>VLOOKUP(A18,Sheet1!A:N,14,FALSE)</f>
        <v>Remmo Panaligan</v>
      </c>
    </row>
    <row r="19" spans="1:4" x14ac:dyDescent="0.25">
      <c r="A19" t="s">
        <v>86</v>
      </c>
      <c r="B19" s="29">
        <v>46322</v>
      </c>
      <c r="C19" t="s">
        <v>125</v>
      </c>
      <c r="D19" t="str">
        <f>VLOOKUP(A19,Sheet1!A:N,14,FALSE)</f>
        <v>Remmo Panaligan</v>
      </c>
    </row>
    <row r="20" spans="1:4" x14ac:dyDescent="0.25">
      <c r="A20" t="s">
        <v>78</v>
      </c>
      <c r="B20" s="29">
        <v>46322</v>
      </c>
      <c r="C20" t="s">
        <v>125</v>
      </c>
      <c r="D20" t="str">
        <f>VLOOKUP(A20,Sheet1!A:N,14,FALSE)</f>
        <v>Anmecha Valencia</v>
      </c>
    </row>
    <row r="21" spans="1:4" x14ac:dyDescent="0.25">
      <c r="A21" t="s">
        <v>83</v>
      </c>
      <c r="B21" s="29">
        <v>46322</v>
      </c>
      <c r="C21" t="s">
        <v>125</v>
      </c>
      <c r="D21" t="str">
        <f>VLOOKUP(A21,Sheet1!A:N,14,FALSE)</f>
        <v>Christopher Rodas</v>
      </c>
    </row>
    <row r="22" spans="1:4" x14ac:dyDescent="0.25">
      <c r="A22" t="s">
        <v>83</v>
      </c>
      <c r="B22" s="29">
        <v>46323</v>
      </c>
      <c r="C22" t="s">
        <v>125</v>
      </c>
      <c r="D22" t="str">
        <f>VLOOKUP(A22,Sheet1!A:N,14,FALSE)</f>
        <v>Christopher Rodas</v>
      </c>
    </row>
    <row r="23" spans="1:4" x14ac:dyDescent="0.25">
      <c r="A23" t="s">
        <v>66</v>
      </c>
      <c r="B23" s="29">
        <v>46323</v>
      </c>
      <c r="C23" t="s">
        <v>125</v>
      </c>
      <c r="D23" t="str">
        <f>VLOOKUP(A23,Sheet1!A:N,14,FALSE)</f>
        <v>Manilyn Abellar</v>
      </c>
    </row>
    <row r="24" spans="1:4" x14ac:dyDescent="0.25">
      <c r="A24" t="s">
        <v>102</v>
      </c>
      <c r="B24" s="29">
        <v>46324</v>
      </c>
      <c r="C24" t="s">
        <v>125</v>
      </c>
      <c r="D24" t="str">
        <f>VLOOKUP(A24,Sheet1!A:N,14,FALSE)</f>
        <v>Remmo Panaligan</v>
      </c>
    </row>
    <row r="25" spans="1:4" x14ac:dyDescent="0.25">
      <c r="A25" t="s">
        <v>126</v>
      </c>
      <c r="B25" s="29">
        <v>46324</v>
      </c>
      <c r="C25" t="s">
        <v>125</v>
      </c>
      <c r="D25" t="str">
        <f>VLOOKUP(A25,Sheet1!A:N,14,FALSE)</f>
        <v>Christopher Rodas</v>
      </c>
    </row>
    <row r="26" spans="1:4" x14ac:dyDescent="0.25">
      <c r="A26" t="s">
        <v>78</v>
      </c>
      <c r="B26" s="29">
        <v>46324</v>
      </c>
      <c r="C26" t="s">
        <v>125</v>
      </c>
      <c r="D26" t="str">
        <f>VLOOKUP(A26,Sheet1!A:N,14,FALSE)</f>
        <v>Anmecha Valencia</v>
      </c>
    </row>
    <row r="27" spans="1:4" x14ac:dyDescent="0.25">
      <c r="A27" t="s">
        <v>95</v>
      </c>
      <c r="B27" s="29">
        <v>46324</v>
      </c>
      <c r="C27" t="s">
        <v>125</v>
      </c>
      <c r="D27" t="str">
        <f>VLOOKUP(A27,Sheet1!A:N,14,FALSE)</f>
        <v>Manilyn Abellar</v>
      </c>
    </row>
    <row r="28" spans="1:4" x14ac:dyDescent="0.25">
      <c r="A28" t="s">
        <v>88</v>
      </c>
      <c r="B28" s="29">
        <v>46325</v>
      </c>
      <c r="C28" t="s">
        <v>125</v>
      </c>
      <c r="D28" t="str">
        <f>VLOOKUP(A28,Sheet1!A:N,14,FALSE)</f>
        <v>Manilyn Abellar</v>
      </c>
    </row>
    <row r="29" spans="1:4" x14ac:dyDescent="0.25">
      <c r="A29" t="s">
        <v>81</v>
      </c>
      <c r="B29" s="29">
        <v>46326</v>
      </c>
      <c r="C29" t="s">
        <v>125</v>
      </c>
      <c r="D29" t="str">
        <f>VLOOKUP(A29,Sheet1!A:N,14,FALSE)</f>
        <v>Christopher Rodas</v>
      </c>
    </row>
  </sheetData>
  <conditionalFormatting sqref="A2">
    <cfRule type="cellIs" dxfId="1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3"/>
  <sheetViews>
    <sheetView tabSelected="1" workbookViewId="0">
      <selection activeCell="E15" sqref="E15"/>
    </sheetView>
  </sheetViews>
  <sheetFormatPr defaultRowHeight="15" x14ac:dyDescent="0.25"/>
  <cols>
    <col min="1" max="1" width="27.140625" style="27" customWidth="1"/>
    <col min="2" max="2" width="17.7109375" style="29" customWidth="1"/>
    <col min="3" max="3" width="22.28515625" style="27" customWidth="1"/>
    <col min="4" max="4" width="18.7109375" customWidth="1"/>
  </cols>
  <sheetData>
    <row r="1" spans="1:4" ht="17.25" thickBot="1" x14ac:dyDescent="0.3">
      <c r="A1" s="25" t="s">
        <v>0</v>
      </c>
      <c r="B1" s="28" t="s">
        <v>122</v>
      </c>
      <c r="C1" s="25" t="s">
        <v>123</v>
      </c>
      <c r="D1" s="25" t="s">
        <v>13</v>
      </c>
    </row>
    <row r="2" spans="1:4" x14ac:dyDescent="0.25">
      <c r="A2" s="26" t="s">
        <v>76</v>
      </c>
      <c r="B2" s="29">
        <v>46315</v>
      </c>
      <c r="C2" s="27" t="s">
        <v>124</v>
      </c>
      <c r="D2" t="str">
        <f>VLOOKUP(A2,Sheet1!A:N,14,FALSE)</f>
        <v>Anmecha Valencia</v>
      </c>
    </row>
    <row r="3" spans="1:4" x14ac:dyDescent="0.25">
      <c r="A3" s="27" t="s">
        <v>84</v>
      </c>
      <c r="B3" s="29">
        <v>46316</v>
      </c>
      <c r="C3" s="27" t="s">
        <v>127</v>
      </c>
      <c r="D3" t="str">
        <f>VLOOKUP(A3,Sheet1!A:N,14,FALSE)</f>
        <v>Michael Dominguez</v>
      </c>
    </row>
  </sheetData>
  <conditionalFormatting sqref="A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2026-10-21T15:20:59Z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