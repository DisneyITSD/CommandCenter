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581" documentId="8_{3D986408-3F70-4028-ABB2-0B6A1225D05C}" xr6:coauthVersionLast="47" xr6:coauthVersionMax="47" xr10:uidLastSave="{0D140A34-BF1B-427F-9A25-00948BBC76A8}"/>
  <bookViews>
    <workbookView xWindow="-108" yWindow="-108" windowWidth="23256" windowHeight="13896" activeTab="3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EST!$A$1:$N$61</definedName>
    <definedName name="_xlnm._FilterDatabase" localSheetId="1" hidden="1">PH!$A$1:$N$61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10" i="3" l="1"/>
  <c r="G11" i="3"/>
  <c r="G12" i="3"/>
  <c r="G13" i="3"/>
  <c r="G14" i="3"/>
  <c r="G9" i="3"/>
  <c r="E10" i="3"/>
  <c r="E9" i="3"/>
  <c r="D10" i="3"/>
  <c r="D11" i="3"/>
  <c r="D12" i="3"/>
  <c r="D13" i="3"/>
  <c r="D14" i="3"/>
  <c r="D9" i="3"/>
  <c r="G8" i="3"/>
  <c r="D8" i="3"/>
  <c r="C8" i="3"/>
  <c r="E8" i="3"/>
  <c r="G7" i="3"/>
  <c r="D7" i="3"/>
  <c r="C7" i="3"/>
  <c r="E7" i="3"/>
  <c r="G6" i="3"/>
  <c r="D6" i="3"/>
  <c r="C6" i="3"/>
  <c r="E6" i="3"/>
  <c r="D3" i="3"/>
  <c r="D4" i="3"/>
  <c r="D5" i="3"/>
  <c r="D2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2" i="2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P35" i="4"/>
  <c r="P34" i="4"/>
  <c r="J60" i="4" l="1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B3" i="4" s="1"/>
  <c r="P4" i="1"/>
  <c r="C4" i="4" s="1"/>
  <c r="P5" i="1"/>
  <c r="B5" i="4" s="1"/>
  <c r="P6" i="1"/>
  <c r="B6" i="4" s="1"/>
  <c r="P7" i="1"/>
  <c r="B7" i="4" s="1"/>
  <c r="P8" i="1"/>
  <c r="B8" i="4" s="1"/>
  <c r="P9" i="1"/>
  <c r="B9" i="4" s="1"/>
  <c r="P10" i="1"/>
  <c r="D10" i="4" s="1"/>
  <c r="P11" i="1"/>
  <c r="B11" i="4" s="1"/>
  <c r="P12" i="1"/>
  <c r="B12" i="4" s="1"/>
  <c r="P13" i="1"/>
  <c r="B13" i="4" s="1"/>
  <c r="P14" i="1"/>
  <c r="C14" i="4" s="1"/>
  <c r="P15" i="1"/>
  <c r="B15" i="4" s="1"/>
  <c r="P16" i="1"/>
  <c r="C16" i="4" s="1"/>
  <c r="P17" i="1"/>
  <c r="B17" i="4" s="1"/>
  <c r="P18" i="1"/>
  <c r="C18" i="4" s="1"/>
  <c r="P19" i="1"/>
  <c r="B19" i="4" s="1"/>
  <c r="P20" i="1"/>
  <c r="C20" i="4" s="1"/>
  <c r="P21" i="1"/>
  <c r="B21" i="4" s="1"/>
  <c r="P22" i="1"/>
  <c r="C22" i="4" s="1"/>
  <c r="P23" i="1"/>
  <c r="B23" i="4" s="1"/>
  <c r="P24" i="1"/>
  <c r="F24" i="4" s="1"/>
  <c r="P25" i="1"/>
  <c r="B25" i="4" s="1"/>
  <c r="P26" i="1"/>
  <c r="B26" i="4" s="1"/>
  <c r="P27" i="1"/>
  <c r="B27" i="4" s="1"/>
  <c r="P28" i="1"/>
  <c r="C28" i="4" s="1"/>
  <c r="P29" i="1"/>
  <c r="B29" i="4" s="1"/>
  <c r="P30" i="1"/>
  <c r="C30" i="4" s="1"/>
  <c r="P31" i="1"/>
  <c r="B31" i="4" s="1"/>
  <c r="P32" i="1"/>
  <c r="C32" i="4" s="1"/>
  <c r="P33" i="1"/>
  <c r="B33" i="4" s="1"/>
  <c r="P34" i="1"/>
  <c r="E34" i="4" s="1"/>
  <c r="P35" i="1"/>
  <c r="B35" i="4" s="1"/>
  <c r="P36" i="1"/>
  <c r="D36" i="4" s="1"/>
  <c r="P37" i="1"/>
  <c r="B37" i="4" s="1"/>
  <c r="P38" i="1"/>
  <c r="G38" i="4" s="1"/>
  <c r="P39" i="1"/>
  <c r="B39" i="4" s="1"/>
  <c r="P40" i="1"/>
  <c r="B40" i="4" s="1"/>
  <c r="P41" i="1"/>
  <c r="B41" i="4" s="1"/>
  <c r="P42" i="1"/>
  <c r="F42" i="4" s="1"/>
  <c r="P43" i="1"/>
  <c r="B43" i="4" s="1"/>
  <c r="P44" i="1"/>
  <c r="C44" i="4" s="1"/>
  <c r="P45" i="1"/>
  <c r="B45" i="4" s="1"/>
  <c r="P46" i="1"/>
  <c r="E46" i="4" s="1"/>
  <c r="P47" i="1"/>
  <c r="B47" i="4" s="1"/>
  <c r="P48" i="1"/>
  <c r="G48" i="4" s="1"/>
  <c r="P49" i="1"/>
  <c r="B49" i="4" s="1"/>
  <c r="P50" i="1"/>
  <c r="E50" i="4" s="1"/>
  <c r="P51" i="1"/>
  <c r="B51" i="4" s="1"/>
  <c r="P52" i="1"/>
  <c r="H52" i="4" s="1"/>
  <c r="P53" i="1"/>
  <c r="B53" i="4" s="1"/>
  <c r="P54" i="1"/>
  <c r="B54" i="4" s="1"/>
  <c r="P55" i="1"/>
  <c r="B55" i="4" s="1"/>
  <c r="P56" i="1"/>
  <c r="G56" i="4" s="1"/>
  <c r="P57" i="1"/>
  <c r="B57" i="4" s="1"/>
  <c r="P58" i="1"/>
  <c r="B58" i="4" s="1"/>
  <c r="P59" i="1"/>
  <c r="B59" i="4" s="1"/>
  <c r="P60" i="1"/>
  <c r="B60" i="4" s="1"/>
  <c r="P61" i="1"/>
  <c r="B61" i="4" s="1"/>
  <c r="P2" i="1"/>
  <c r="H2" i="4" s="1"/>
  <c r="G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G4" i="3"/>
  <c r="G3" i="3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2" i="2"/>
  <c r="G2" i="3"/>
  <c r="C29" i="2" l="1"/>
  <c r="C5" i="2"/>
  <c r="C3" i="3"/>
  <c r="C26" i="2"/>
  <c r="C4" i="3"/>
  <c r="C3" i="2"/>
  <c r="C18" i="2"/>
  <c r="E3" i="3"/>
  <c r="E4" i="3"/>
  <c r="E5" i="3"/>
  <c r="E11" i="2"/>
  <c r="E25" i="2"/>
  <c r="C9" i="2"/>
  <c r="E12" i="2"/>
  <c r="E26" i="2"/>
  <c r="C10" i="2"/>
  <c r="E13" i="2"/>
  <c r="E27" i="2"/>
  <c r="C13" i="2"/>
  <c r="E14" i="2"/>
  <c r="E28" i="2"/>
  <c r="C15" i="2"/>
  <c r="E15" i="2"/>
  <c r="E29" i="2"/>
  <c r="C17" i="2"/>
  <c r="E16" i="2"/>
  <c r="E2" i="2"/>
  <c r="C19" i="2"/>
  <c r="E3" i="2"/>
  <c r="E17" i="2"/>
  <c r="C21" i="2"/>
  <c r="E4" i="2"/>
  <c r="E18" i="2"/>
  <c r="C22" i="2"/>
  <c r="E5" i="2"/>
  <c r="E19" i="2"/>
  <c r="C23" i="2"/>
  <c r="E20" i="2"/>
  <c r="C24" i="2"/>
  <c r="E7" i="2"/>
  <c r="E21" i="2"/>
  <c r="C2" i="3"/>
  <c r="C27" i="2"/>
  <c r="E8" i="2"/>
  <c r="E22" i="2"/>
  <c r="C6" i="2"/>
  <c r="C28" i="2"/>
  <c r="E9" i="2"/>
  <c r="E23" i="2"/>
  <c r="C7" i="2"/>
  <c r="C2" i="2"/>
  <c r="E10" i="2"/>
  <c r="E24" i="2"/>
  <c r="C8" i="2"/>
  <c r="E2" i="3"/>
  <c r="E6" i="2"/>
  <c r="C5" i="3"/>
  <c r="C14" i="2"/>
  <c r="C16" i="2"/>
  <c r="C12" i="2"/>
  <c r="C4" i="2"/>
  <c r="C25" i="2"/>
  <c r="C20" i="2"/>
  <c r="C11" i="2"/>
  <c r="E42" i="4"/>
  <c r="F44" i="4"/>
  <c r="H42" i="4"/>
  <c r="H23" i="4"/>
  <c r="E22" i="4"/>
  <c r="B22" i="4"/>
  <c r="H18" i="4"/>
  <c r="H14" i="4"/>
  <c r="E14" i="4"/>
  <c r="B14" i="4"/>
  <c r="F36" i="4"/>
  <c r="C36" i="4"/>
  <c r="G14" i="4"/>
  <c r="E30" i="4"/>
  <c r="H12" i="4"/>
  <c r="H38" i="4"/>
  <c r="B36" i="4"/>
  <c r="G58" i="4"/>
  <c r="G28" i="4"/>
  <c r="H11" i="4"/>
  <c r="F56" i="4"/>
  <c r="D28" i="4"/>
  <c r="C10" i="4"/>
  <c r="G50" i="4"/>
  <c r="H25" i="4"/>
  <c r="G9" i="4"/>
  <c r="C50" i="4"/>
  <c r="G24" i="4"/>
  <c r="H8" i="4"/>
  <c r="H34" i="4"/>
  <c r="B50" i="4"/>
  <c r="E24" i="4"/>
  <c r="C8" i="4"/>
  <c r="E56" i="4"/>
  <c r="D42" i="4"/>
  <c r="B28" i="4"/>
  <c r="D56" i="4"/>
  <c r="C42" i="4"/>
  <c r="F54" i="4"/>
  <c r="E40" i="4"/>
  <c r="G53" i="4"/>
  <c r="G52" i="4"/>
  <c r="F38" i="4"/>
  <c r="H51" i="4"/>
  <c r="G37" i="4"/>
  <c r="H22" i="4"/>
  <c r="F8" i="4"/>
  <c r="F58" i="4"/>
  <c r="G51" i="4"/>
  <c r="H36" i="4"/>
  <c r="G22" i="4"/>
  <c r="E8" i="4"/>
  <c r="D50" i="4"/>
  <c r="H4" i="4"/>
  <c r="C56" i="4"/>
  <c r="F52" i="4"/>
  <c r="H48" i="4"/>
  <c r="B42" i="4"/>
  <c r="E38" i="4"/>
  <c r="H32" i="4"/>
  <c r="H27" i="4"/>
  <c r="D24" i="4"/>
  <c r="G18" i="4"/>
  <c r="G12" i="4"/>
  <c r="B10" i="4"/>
  <c r="H60" i="4"/>
  <c r="B56" i="4"/>
  <c r="E52" i="4"/>
  <c r="H46" i="4"/>
  <c r="H41" i="4"/>
  <c r="D38" i="4"/>
  <c r="G32" i="4"/>
  <c r="H26" i="4"/>
  <c r="C24" i="4"/>
  <c r="H16" i="4"/>
  <c r="F12" i="4"/>
  <c r="H9" i="4"/>
  <c r="G60" i="4"/>
  <c r="H55" i="4"/>
  <c r="D52" i="4"/>
  <c r="G46" i="4"/>
  <c r="H40" i="4"/>
  <c r="C38" i="4"/>
  <c r="H30" i="4"/>
  <c r="G26" i="4"/>
  <c r="B24" i="4"/>
  <c r="G16" i="4"/>
  <c r="E12" i="4"/>
  <c r="F60" i="4"/>
  <c r="H54" i="4"/>
  <c r="C52" i="4"/>
  <c r="H44" i="4"/>
  <c r="G40" i="4"/>
  <c r="B38" i="4"/>
  <c r="G30" i="4"/>
  <c r="F26" i="4"/>
  <c r="E16" i="4"/>
  <c r="D12" i="4"/>
  <c r="H58" i="4"/>
  <c r="G54" i="4"/>
  <c r="B52" i="4"/>
  <c r="G44" i="4"/>
  <c r="F40" i="4"/>
  <c r="H37" i="4"/>
  <c r="F30" i="4"/>
  <c r="E26" i="4"/>
  <c r="G23" i="4"/>
  <c r="D16" i="4"/>
  <c r="C12" i="4"/>
  <c r="G8" i="4"/>
  <c r="D26" i="4"/>
  <c r="E44" i="4"/>
  <c r="D40" i="4"/>
  <c r="D30" i="4"/>
  <c r="C26" i="4"/>
  <c r="E58" i="4"/>
  <c r="D54" i="4"/>
  <c r="H50" i="4"/>
  <c r="D44" i="4"/>
  <c r="C40" i="4"/>
  <c r="G36" i="4"/>
  <c r="H28" i="4"/>
  <c r="F22" i="4"/>
  <c r="F14" i="4"/>
  <c r="G11" i="4"/>
  <c r="D8" i="4"/>
  <c r="E54" i="4"/>
  <c r="D58" i="4"/>
  <c r="C54" i="4"/>
  <c r="H56" i="4"/>
  <c r="F50" i="4"/>
  <c r="G42" i="4"/>
  <c r="H39" i="4"/>
  <c r="E36" i="4"/>
  <c r="F28" i="4"/>
  <c r="G25" i="4"/>
  <c r="D22" i="4"/>
  <c r="D14" i="4"/>
  <c r="G10" i="4"/>
  <c r="H10" i="4"/>
  <c r="H53" i="4"/>
  <c r="G39" i="4"/>
  <c r="E28" i="4"/>
  <c r="H24" i="4"/>
  <c r="F10" i="4"/>
  <c r="H6" i="4"/>
  <c r="E10" i="4"/>
  <c r="H20" i="4"/>
  <c r="H13" i="4"/>
  <c r="G4" i="4"/>
  <c r="F48" i="4"/>
  <c r="F46" i="4"/>
  <c r="F34" i="4"/>
  <c r="F32" i="4"/>
  <c r="F20" i="4"/>
  <c r="F18" i="4"/>
  <c r="F16" i="4"/>
  <c r="F6" i="4"/>
  <c r="F4" i="4"/>
  <c r="G34" i="4"/>
  <c r="G20" i="4"/>
  <c r="G6" i="4"/>
  <c r="E32" i="4"/>
  <c r="E20" i="4"/>
  <c r="E18" i="4"/>
  <c r="E4" i="4"/>
  <c r="D48" i="4"/>
  <c r="D46" i="4"/>
  <c r="D18" i="4"/>
  <c r="C48" i="4"/>
  <c r="C46" i="4"/>
  <c r="C6" i="4"/>
  <c r="B48" i="4"/>
  <c r="B46" i="4"/>
  <c r="B44" i="4"/>
  <c r="B34" i="4"/>
  <c r="B18" i="4"/>
  <c r="B16" i="4"/>
  <c r="H49" i="4"/>
  <c r="H43" i="4"/>
  <c r="H35" i="4"/>
  <c r="H31" i="4"/>
  <c r="G35" i="4"/>
  <c r="G33" i="4"/>
  <c r="G31" i="4"/>
  <c r="G29" i="4"/>
  <c r="G27" i="4"/>
  <c r="G13" i="4"/>
  <c r="F61" i="4"/>
  <c r="F59" i="4"/>
  <c r="F57" i="4"/>
  <c r="F55" i="4"/>
  <c r="F53" i="4"/>
  <c r="F51" i="4"/>
  <c r="F49" i="4"/>
  <c r="F47" i="4"/>
  <c r="F45" i="4"/>
  <c r="F43" i="4"/>
  <c r="F41" i="4"/>
  <c r="F39" i="4"/>
  <c r="F37" i="4"/>
  <c r="F35" i="4"/>
  <c r="F33" i="4"/>
  <c r="F31" i="4"/>
  <c r="F29" i="4"/>
  <c r="F27" i="4"/>
  <c r="F25" i="4"/>
  <c r="F23" i="4"/>
  <c r="F21" i="4"/>
  <c r="F19" i="4"/>
  <c r="F17" i="4"/>
  <c r="F15" i="4"/>
  <c r="F13" i="4"/>
  <c r="F11" i="4"/>
  <c r="F9" i="4"/>
  <c r="F7" i="4"/>
  <c r="F5" i="4"/>
  <c r="F3" i="4"/>
  <c r="E48" i="4"/>
  <c r="D34" i="4"/>
  <c r="B32" i="4"/>
  <c r="B30" i="4"/>
  <c r="H7" i="4"/>
  <c r="H3" i="4"/>
  <c r="G61" i="4"/>
  <c r="G57" i="4"/>
  <c r="G55" i="4"/>
  <c r="G19" i="4"/>
  <c r="G3" i="4"/>
  <c r="E61" i="4"/>
  <c r="E59" i="4"/>
  <c r="E57" i="4"/>
  <c r="E55" i="4"/>
  <c r="E53" i="4"/>
  <c r="E51" i="4"/>
  <c r="E49" i="4"/>
  <c r="E47" i="4"/>
  <c r="E45" i="4"/>
  <c r="E43" i="4"/>
  <c r="E41" i="4"/>
  <c r="E39" i="4"/>
  <c r="E37" i="4"/>
  <c r="E35" i="4"/>
  <c r="E33" i="4"/>
  <c r="E31" i="4"/>
  <c r="E29" i="4"/>
  <c r="E27" i="4"/>
  <c r="E25" i="4"/>
  <c r="E23" i="4"/>
  <c r="E21" i="4"/>
  <c r="E19" i="4"/>
  <c r="E17" i="4"/>
  <c r="E15" i="4"/>
  <c r="E13" i="4"/>
  <c r="E11" i="4"/>
  <c r="E9" i="4"/>
  <c r="E7" i="4"/>
  <c r="E5" i="4"/>
  <c r="E3" i="4"/>
  <c r="D32" i="4"/>
  <c r="D4" i="4"/>
  <c r="C60" i="4"/>
  <c r="B20" i="4"/>
  <c r="B4" i="4"/>
  <c r="H61" i="4"/>
  <c r="H59" i="4"/>
  <c r="H57" i="4"/>
  <c r="D61" i="4"/>
  <c r="D59" i="4"/>
  <c r="D57" i="4"/>
  <c r="D55" i="4"/>
  <c r="D53" i="4"/>
  <c r="D51" i="4"/>
  <c r="D49" i="4"/>
  <c r="D47" i="4"/>
  <c r="D45" i="4"/>
  <c r="D43" i="4"/>
  <c r="D41" i="4"/>
  <c r="D39" i="4"/>
  <c r="D37" i="4"/>
  <c r="D35" i="4"/>
  <c r="D33" i="4"/>
  <c r="D31" i="4"/>
  <c r="D29" i="4"/>
  <c r="D27" i="4"/>
  <c r="D25" i="4"/>
  <c r="D23" i="4"/>
  <c r="D21" i="4"/>
  <c r="D19" i="4"/>
  <c r="D17" i="4"/>
  <c r="D15" i="4"/>
  <c r="D13" i="4"/>
  <c r="D11" i="4"/>
  <c r="D9" i="4"/>
  <c r="D7" i="4"/>
  <c r="D5" i="4"/>
  <c r="D3" i="4"/>
  <c r="E60" i="4"/>
  <c r="E6" i="4"/>
  <c r="E2" i="4"/>
  <c r="D60" i="4"/>
  <c r="D20" i="4"/>
  <c r="D6" i="4"/>
  <c r="F2" i="4"/>
  <c r="C58" i="4"/>
  <c r="C34" i="4"/>
  <c r="G2" i="4"/>
  <c r="H45" i="4"/>
  <c r="H19" i="4"/>
  <c r="G5" i="4"/>
  <c r="C61" i="4"/>
  <c r="C59" i="4"/>
  <c r="C57" i="4"/>
  <c r="C55" i="4"/>
  <c r="C53" i="4"/>
  <c r="C51" i="4"/>
  <c r="C49" i="4"/>
  <c r="C47" i="4"/>
  <c r="C45" i="4"/>
  <c r="C43" i="4"/>
  <c r="C41" i="4"/>
  <c r="C39" i="4"/>
  <c r="C37" i="4"/>
  <c r="C35" i="4"/>
  <c r="C33" i="4"/>
  <c r="C31" i="4"/>
  <c r="C29" i="4"/>
  <c r="C27" i="4"/>
  <c r="C25" i="4"/>
  <c r="C23" i="4"/>
  <c r="C21" i="4"/>
  <c r="C19" i="4"/>
  <c r="C17" i="4"/>
  <c r="C15" i="4"/>
  <c r="C13" i="4"/>
  <c r="C11" i="4"/>
  <c r="C9" i="4"/>
  <c r="C7" i="4"/>
  <c r="C5" i="4"/>
  <c r="C3" i="4"/>
  <c r="H47" i="4"/>
  <c r="H33" i="4"/>
  <c r="H29" i="4"/>
  <c r="H21" i="4"/>
  <c r="H17" i="4"/>
  <c r="H15" i="4"/>
  <c r="H5" i="4"/>
  <c r="G59" i="4"/>
  <c r="G49" i="4"/>
  <c r="G47" i="4"/>
  <c r="G45" i="4"/>
  <c r="G43" i="4"/>
  <c r="G41" i="4"/>
  <c r="G21" i="4"/>
  <c r="G17" i="4"/>
  <c r="G15" i="4"/>
  <c r="G7" i="4"/>
  <c r="B2" i="4"/>
  <c r="C2" i="4"/>
  <c r="D2" i="4"/>
  <c r="I58" i="4" l="1"/>
  <c r="I42" i="4"/>
  <c r="I14" i="4"/>
  <c r="I54" i="4"/>
  <c r="I40" i="4"/>
  <c r="I38" i="4"/>
  <c r="I8" i="4"/>
  <c r="I22" i="4"/>
  <c r="I36" i="4"/>
  <c r="I56" i="4"/>
  <c r="I28" i="4"/>
  <c r="I13" i="4"/>
  <c r="I24" i="4"/>
  <c r="I52" i="4"/>
  <c r="I26" i="4"/>
  <c r="I43" i="4"/>
  <c r="I15" i="4"/>
  <c r="I45" i="4"/>
  <c r="I21" i="4"/>
  <c r="I49" i="4"/>
  <c r="I6" i="4"/>
  <c r="I4" i="4"/>
  <c r="I48" i="4"/>
  <c r="I18" i="4"/>
  <c r="I10" i="4"/>
  <c r="I20" i="4"/>
  <c r="I32" i="4"/>
  <c r="I12" i="4"/>
  <c r="I53" i="4"/>
  <c r="I44" i="4"/>
  <c r="I30" i="4"/>
  <c r="I35" i="4"/>
  <c r="I37" i="4"/>
  <c r="I50" i="4"/>
  <c r="I41" i="4"/>
  <c r="I2" i="4"/>
  <c r="I19" i="4"/>
  <c r="I47" i="4"/>
  <c r="I17" i="4"/>
  <c r="I60" i="4"/>
  <c r="I25" i="4"/>
  <c r="I34" i="4"/>
  <c r="I16" i="4"/>
  <c r="I55" i="4"/>
  <c r="I23" i="4"/>
  <c r="I29" i="4"/>
  <c r="I57" i="4"/>
  <c r="I7" i="4"/>
  <c r="I9" i="4"/>
  <c r="I51" i="4"/>
  <c r="I27" i="4"/>
  <c r="I46" i="4"/>
  <c r="I3" i="4"/>
  <c r="I31" i="4"/>
  <c r="I59" i="4"/>
  <c r="I33" i="4"/>
  <c r="I5" i="4"/>
  <c r="I61" i="4"/>
  <c r="I11" i="4"/>
  <c r="I39" i="4"/>
</calcChain>
</file>

<file path=xl/sharedStrings.xml><?xml version="1.0" encoding="utf-8"?>
<sst xmlns="http://schemas.openxmlformats.org/spreadsheetml/2006/main" count="835" uniqueCount="141">
  <si>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</si>
  <si>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</si>
  <si>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</si>
  <si>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</si>
  <si>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</si>
  <si>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</si>
  <si>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</si>
  <si>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</si>
  <si>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</si>
  <si>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</si>
  <si>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</si>
  <si>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</si>
  <si>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</si>
  <si>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</si>
  <si>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</si>
  <si>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</si>
  <si>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</si>
  <si>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</si>
  <si>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</si>
  <si>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</si>
  <si>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</si>
  <si>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</si>
  <si>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</si>
  <si>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</si>
  <si>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</si>
  <si>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</si>
  <si>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</si>
  <si>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</si>
  <si>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</si>
  <si>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</si>
  <si>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</si>
  <si>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</si>
  <si>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</si>
  <si>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</si>
  <si>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</si>
  <si>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</si>
  <si>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</si>
  <si>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</si>
  <si>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</si>
  <si>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</si>
  <si>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</si>
  <si>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</si>
  <si>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</si>
  <si>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</si>
  <si>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</si>
  <si>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</si>
  <si>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</si>
  <si>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</si>
  <si>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</si>
  <si>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</si>
  <si>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</si>
  <si>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</si>
  <si>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</si>
  <si>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</si>
  <si>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</si>
  <si>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</si>
  <si>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</si>
  <si>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</si>
  <si>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</si>
  <si>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</si>
  <si>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</si>
  <si>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</si>
  <si>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</si>
  <si>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</si>
  <si>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</si>
  <si>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</si>
  <si>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</si>
  <si>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</si>
  <si>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</si>
  <si>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</si>
  <si>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</si>
  <si>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</si>
  <si>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</si>
  <si>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</si>
  <si>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</si>
  <si>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</si>
  <si>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</si>
  <si>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</si>
  <si>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</si>
  <si>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</si>
  <si>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</si>
  <si>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</si>
  <si>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</si>
  <si>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</si>
  <si>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</si>
  <si>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</si>
  <si>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</si>
  <si>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</si>
  <si>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</si>
  <si>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</si>
  <si>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</si>
  <si>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</si>
  <si>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</si>
  <si>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</si>
  <si>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</si>
  <si>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</si>
  <si>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</si>
  <si>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</si>
  <si>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</si>
  <si>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</si>
  <si>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</si>
  <si>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</si>
  <si>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</si>
  <si>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</si>
  <si>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</si>
  <si>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</si>
  <si>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</si>
  <si>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</si>
  <si>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</si>
  <si>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</si>
  <si>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</si>
  <si>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</si>
  <si>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</si>
  <si>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</si>
  <si>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</si>
  <si>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</si>
  <si>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</si>
  <si>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</si>
  <si>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</si>
  <si>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</si>
  <si>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</si>
  <si>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Reason</t>
  </si>
  <si>
    <t>Called Off</t>
  </si>
  <si>
    <t>PTO</t>
  </si>
  <si>
    <t>CLEENDY CERILLA</t>
  </si>
  <si>
    <t>Running Late (No ETA)</t>
  </si>
  <si>
    <t>Running Late (ETA : 17:00)</t>
  </si>
  <si>
    <t>Left Early</t>
  </si>
  <si>
    <t>JHANELLE JANE DIDATO</t>
  </si>
  <si>
    <t>OFFSET</t>
  </si>
  <si>
    <t>14:00 - 01:00</t>
  </si>
  <si>
    <t>15:00 - 02:00</t>
  </si>
  <si>
    <t>19:00 - 06:00</t>
  </si>
  <si>
    <t>19:30 - 06:30</t>
  </si>
  <si>
    <t>16:00 - 03:00</t>
  </si>
  <si>
    <t>00:00 - 11:00</t>
  </si>
  <si>
    <t>06:30 - 17:30</t>
  </si>
  <si>
    <t>EST Date</t>
  </si>
  <si>
    <t>PH Date</t>
  </si>
  <si>
    <t>EST SHIFT</t>
  </si>
  <si>
    <t>PH SHIFT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</si>
</sst>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</cellXfs>
  <cellStyles count="1">
    <cellStyle name="Normal" xfId="0" builtinId="0"/>
  </cellStyles>
  <dxfs count="7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1"/>
  <sheetViews>
    <sheetView topLeftCell="A31" zoomScaleNormal="100" workbookViewId="0">
      <selection activeCell="A51" sqref="A51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139</v>
      </c>
    </row>
    <row r="2" spans="1:16" x14ac:dyDescent="0.3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  <c r="O2" s="17" t="s">
        <v>14</v>
      </c>
      <c r="P2">
        <f t="shared" ref="P2:P33" si="0">IF(O2="OFF",0,
IF(VALUE(LEFT(O2,2))&lt;12,0,1))</f>
        <v>0</v>
      </c>
    </row>
    <row r="3" spans="1:16" x14ac:dyDescent="0.3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  <c r="O3" s="1" t="s">
        <v>18</v>
      </c>
      <c r="P3">
        <f t="shared" si="0"/>
        <v>1</v>
      </c>
    </row>
    <row r="4" spans="1:16" x14ac:dyDescent="0.3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  <c r="O4" s="17" t="s">
        <v>20</v>
      </c>
      <c r="P4">
        <f t="shared" si="0"/>
        <v>0</v>
      </c>
    </row>
    <row r="5" spans="1:16" x14ac:dyDescent="0.3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  <c r="O5" s="5" t="s">
        <v>23</v>
      </c>
      <c r="P5">
        <f t="shared" si="0"/>
        <v>0</v>
      </c>
    </row>
    <row r="6" spans="1:16" x14ac:dyDescent="0.3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  <c r="O6" s="23" t="s">
        <v>25</v>
      </c>
      <c r="P6">
        <f t="shared" si="0"/>
        <v>1</v>
      </c>
    </row>
    <row r="7" spans="1:16" s="36" customFormat="1" x14ac:dyDescent="0.3">
      <c r="A7" s="31" t="s">
        <v>68</v>
      </c>
      <c r="B7" s="32" t="s">
        <v>28</v>
      </c>
      <c r="C7" s="32" t="s">
        <v>28</v>
      </c>
      <c r="D7" s="32" t="s">
        <v>15</v>
      </c>
      <c r="E7" s="32" t="s">
        <v>15</v>
      </c>
      <c r="F7" s="32" t="s">
        <v>28</v>
      </c>
      <c r="G7" s="32" t="s">
        <v>28</v>
      </c>
      <c r="H7" s="32" t="s">
        <v>15</v>
      </c>
      <c r="I7" s="33" t="s">
        <v>29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30</v>
      </c>
      <c r="O7" s="32" t="s">
        <v>28</v>
      </c>
      <c r="P7">
        <f t="shared" si="0"/>
        <v>0</v>
      </c>
    </row>
    <row r="8" spans="1:16" x14ac:dyDescent="0.3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  <c r="O8" s="17" t="s">
        <v>28</v>
      </c>
      <c r="P8">
        <f t="shared" si="0"/>
        <v>0</v>
      </c>
    </row>
    <row r="9" spans="1:16" x14ac:dyDescent="0.3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  <c r="O9" s="1" t="s">
        <v>28</v>
      </c>
      <c r="P9">
        <f t="shared" si="0"/>
        <v>0</v>
      </c>
    </row>
    <row r="10" spans="1:16" x14ac:dyDescent="0.3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  <c r="O10" s="5" t="s">
        <v>28</v>
      </c>
      <c r="P10">
        <f t="shared" si="0"/>
        <v>0</v>
      </c>
    </row>
    <row r="11" spans="1:16" x14ac:dyDescent="0.3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  <c r="O11" s="1" t="s">
        <v>34</v>
      </c>
      <c r="P11">
        <f t="shared" si="0"/>
        <v>0</v>
      </c>
    </row>
    <row r="12" spans="1:16" x14ac:dyDescent="0.3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  <c r="O12" s="17" t="s">
        <v>28</v>
      </c>
      <c r="P12">
        <f t="shared" si="0"/>
        <v>0</v>
      </c>
    </row>
    <row r="13" spans="1:16" x14ac:dyDescent="0.3">
      <c r="A13" s="10" t="s">
        <v>124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  <c r="O13" s="1" t="s">
        <v>23</v>
      </c>
      <c r="P13">
        <f t="shared" si="0"/>
        <v>0</v>
      </c>
    </row>
    <row r="14" spans="1:16" x14ac:dyDescent="0.3">
      <c r="A14" s="10" t="s">
        <v>74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  <c r="O14" s="1" t="s">
        <v>37</v>
      </c>
      <c r="P14">
        <f t="shared" si="0"/>
        <v>0</v>
      </c>
    </row>
    <row r="15" spans="1:16" x14ac:dyDescent="0.3">
      <c r="A15" s="16" t="s">
        <v>75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  <c r="O15" s="17" t="s">
        <v>20</v>
      </c>
      <c r="P15">
        <f t="shared" si="0"/>
        <v>0</v>
      </c>
    </row>
    <row r="16" spans="1:16" x14ac:dyDescent="0.3">
      <c r="A16" s="11" t="s">
        <v>76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  <c r="O16" s="5" t="s">
        <v>38</v>
      </c>
      <c r="P16">
        <f t="shared" si="0"/>
        <v>0</v>
      </c>
    </row>
    <row r="17" spans="1:16" x14ac:dyDescent="0.3">
      <c r="A17" s="11" t="s">
        <v>77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  <c r="O17" s="5" t="s">
        <v>28</v>
      </c>
      <c r="P17">
        <f t="shared" si="0"/>
        <v>0</v>
      </c>
    </row>
    <row r="18" spans="1:16" x14ac:dyDescent="0.3">
      <c r="A18" s="11" t="s">
        <v>78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  <c r="O18" s="5" t="s">
        <v>28</v>
      </c>
      <c r="P18">
        <f t="shared" si="0"/>
        <v>0</v>
      </c>
    </row>
    <row r="19" spans="1:16" x14ac:dyDescent="0.3">
      <c r="A19" s="11" t="s">
        <v>80</v>
      </c>
      <c r="B19" s="5" t="s">
        <v>20</v>
      </c>
      <c r="C19" s="5" t="s">
        <v>20</v>
      </c>
      <c r="D19" s="5" t="s">
        <v>15</v>
      </c>
      <c r="E19" s="5" t="s">
        <v>20</v>
      </c>
      <c r="F19" s="5" t="s">
        <v>20</v>
      </c>
      <c r="G19" s="5" t="s">
        <v>15</v>
      </c>
      <c r="H19" s="5" t="s">
        <v>15</v>
      </c>
      <c r="I19" s="6" t="s">
        <v>35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27</v>
      </c>
      <c r="O19" s="5" t="s">
        <v>20</v>
      </c>
      <c r="P19">
        <f t="shared" si="0"/>
        <v>0</v>
      </c>
    </row>
    <row r="20" spans="1:16" x14ac:dyDescent="0.3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  <c r="O20" s="17" t="s">
        <v>40</v>
      </c>
      <c r="P20">
        <f t="shared" si="0"/>
        <v>1</v>
      </c>
    </row>
    <row r="21" spans="1:16" x14ac:dyDescent="0.3">
      <c r="A21" s="10" t="s">
        <v>82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15</v>
      </c>
      <c r="G21" s="1" t="s">
        <v>15</v>
      </c>
      <c r="H21" s="1" t="s">
        <v>15</v>
      </c>
      <c r="I21" s="2" t="s">
        <v>24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17</v>
      </c>
      <c r="O21" s="1" t="s">
        <v>42</v>
      </c>
      <c r="P21">
        <f t="shared" si="0"/>
        <v>0</v>
      </c>
    </row>
    <row r="22" spans="1:16" x14ac:dyDescent="0.3">
      <c r="A22" s="16" t="s">
        <v>83</v>
      </c>
      <c r="B22" s="17" t="s">
        <v>43</v>
      </c>
      <c r="C22" s="17" t="s">
        <v>43</v>
      </c>
      <c r="D22" s="17" t="s">
        <v>43</v>
      </c>
      <c r="E22" s="17" t="s">
        <v>15</v>
      </c>
      <c r="F22" s="17" t="s">
        <v>15</v>
      </c>
      <c r="G22" s="17" t="s">
        <v>15</v>
      </c>
      <c r="H22" s="17" t="s">
        <v>43</v>
      </c>
      <c r="I22" s="17" t="s">
        <v>19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32</v>
      </c>
      <c r="O22" s="17" t="s">
        <v>43</v>
      </c>
      <c r="P22">
        <f t="shared" si="0"/>
        <v>0</v>
      </c>
    </row>
    <row r="23" spans="1:16" x14ac:dyDescent="0.3">
      <c r="A23" s="11" t="s">
        <v>84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15</v>
      </c>
      <c r="G23" s="5" t="s">
        <v>15</v>
      </c>
      <c r="H23" s="5" t="s">
        <v>15</v>
      </c>
      <c r="I23" s="6" t="s">
        <v>24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27</v>
      </c>
      <c r="O23" s="5" t="s">
        <v>44</v>
      </c>
      <c r="P23">
        <f t="shared" si="0"/>
        <v>0</v>
      </c>
    </row>
    <row r="24" spans="1:16" x14ac:dyDescent="0.3">
      <c r="A24" s="11" t="s">
        <v>85</v>
      </c>
      <c r="B24" s="5" t="s">
        <v>20</v>
      </c>
      <c r="C24" s="5" t="s">
        <v>20</v>
      </c>
      <c r="D24" s="5" t="s">
        <v>15</v>
      </c>
      <c r="E24" s="5" t="s">
        <v>20</v>
      </c>
      <c r="F24" s="5" t="s">
        <v>20</v>
      </c>
      <c r="G24" s="5" t="s">
        <v>15</v>
      </c>
      <c r="H24" s="5" t="s">
        <v>15</v>
      </c>
      <c r="I24" s="6" t="s">
        <v>35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17</v>
      </c>
      <c r="O24" s="5" t="s">
        <v>20</v>
      </c>
      <c r="P24">
        <f t="shared" si="0"/>
        <v>0</v>
      </c>
    </row>
    <row r="25" spans="1:16" x14ac:dyDescent="0.3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  <c r="O25" s="1" t="s">
        <v>38</v>
      </c>
      <c r="P25">
        <f t="shared" si="0"/>
        <v>0</v>
      </c>
    </row>
    <row r="26" spans="1:16" x14ac:dyDescent="0.3">
      <c r="A26" s="16" t="s">
        <v>87</v>
      </c>
      <c r="B26" s="17" t="s">
        <v>45</v>
      </c>
      <c r="C26" s="17" t="s">
        <v>45</v>
      </c>
      <c r="D26" s="17" t="s">
        <v>45</v>
      </c>
      <c r="E26" s="17" t="s">
        <v>15</v>
      </c>
      <c r="F26" s="17" t="s">
        <v>15</v>
      </c>
      <c r="G26" s="17" t="s">
        <v>15</v>
      </c>
      <c r="H26" s="17" t="s">
        <v>45</v>
      </c>
      <c r="I26" s="18" t="s">
        <v>19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32</v>
      </c>
      <c r="O26" s="17" t="s">
        <v>45</v>
      </c>
      <c r="P26">
        <f t="shared" si="0"/>
        <v>0</v>
      </c>
    </row>
    <row r="27" spans="1:16" x14ac:dyDescent="0.3">
      <c r="A27" s="11" t="s">
        <v>88</v>
      </c>
      <c r="B27" s="13" t="s">
        <v>56</v>
      </c>
      <c r="C27" s="13" t="s">
        <v>56</v>
      </c>
      <c r="D27" s="5" t="s">
        <v>15</v>
      </c>
      <c r="E27" s="13" t="s">
        <v>56</v>
      </c>
      <c r="F27" s="13" t="s">
        <v>56</v>
      </c>
      <c r="G27" s="5" t="s">
        <v>15</v>
      </c>
      <c r="H27" s="5" t="s">
        <v>15</v>
      </c>
      <c r="I27" s="6" t="s">
        <v>35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22</v>
      </c>
      <c r="O27" s="13" t="s">
        <v>56</v>
      </c>
      <c r="P27">
        <f t="shared" si="0"/>
        <v>1</v>
      </c>
    </row>
    <row r="28" spans="1:16" x14ac:dyDescent="0.3">
      <c r="A28" s="11" t="s">
        <v>89</v>
      </c>
      <c r="B28" s="5" t="s">
        <v>20</v>
      </c>
      <c r="C28" s="5" t="s">
        <v>15</v>
      </c>
      <c r="D28" s="5" t="s">
        <v>20</v>
      </c>
      <c r="E28" s="5" t="s">
        <v>20</v>
      </c>
      <c r="F28" s="5" t="s">
        <v>20</v>
      </c>
      <c r="G28" s="5" t="s">
        <v>15</v>
      </c>
      <c r="H28" s="5" t="s">
        <v>15</v>
      </c>
      <c r="I28" s="6" t="s">
        <v>33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22</v>
      </c>
      <c r="O28" s="5" t="s">
        <v>20</v>
      </c>
      <c r="P28">
        <f t="shared" si="0"/>
        <v>0</v>
      </c>
    </row>
    <row r="29" spans="1:16" x14ac:dyDescent="0.3">
      <c r="A29" s="16" t="s">
        <v>128</v>
      </c>
      <c r="B29" s="17" t="s">
        <v>15</v>
      </c>
      <c r="C29" s="17" t="s">
        <v>15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15</v>
      </c>
      <c r="I29" s="18" t="s">
        <v>29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22</v>
      </c>
      <c r="O29" s="17" t="s">
        <v>47</v>
      </c>
      <c r="P29">
        <f t="shared" si="0"/>
        <v>1</v>
      </c>
    </row>
    <row r="30" spans="1:16" x14ac:dyDescent="0.3">
      <c r="A30" s="10" t="s">
        <v>90</v>
      </c>
      <c r="B30" s="1" t="s">
        <v>15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15</v>
      </c>
      <c r="H30" s="1" t="s">
        <v>15</v>
      </c>
      <c r="I30" s="2" t="s">
        <v>36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22</v>
      </c>
      <c r="O30" s="1" t="s">
        <v>43</v>
      </c>
      <c r="P30">
        <f t="shared" si="0"/>
        <v>0</v>
      </c>
    </row>
    <row r="31" spans="1:16" x14ac:dyDescent="0.3">
      <c r="A31" s="16" t="s">
        <v>91</v>
      </c>
      <c r="B31" s="17" t="s">
        <v>48</v>
      </c>
      <c r="C31" s="17" t="s">
        <v>48</v>
      </c>
      <c r="D31" s="17" t="s">
        <v>15</v>
      </c>
      <c r="E31" s="17" t="s">
        <v>15</v>
      </c>
      <c r="F31" s="17" t="s">
        <v>15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30</v>
      </c>
      <c r="O31" s="17" t="s">
        <v>48</v>
      </c>
      <c r="P31">
        <f t="shared" si="0"/>
        <v>1</v>
      </c>
    </row>
    <row r="32" spans="1:16" x14ac:dyDescent="0.3">
      <c r="A32" s="16" t="s">
        <v>92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15</v>
      </c>
      <c r="G32" s="17" t="s">
        <v>15</v>
      </c>
      <c r="H32" s="17" t="s">
        <v>15</v>
      </c>
      <c r="I32" s="18" t="s">
        <v>24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17</v>
      </c>
      <c r="O32" s="17" t="s">
        <v>42</v>
      </c>
      <c r="P32">
        <f t="shared" si="0"/>
        <v>0</v>
      </c>
    </row>
    <row r="33" spans="1:16" x14ac:dyDescent="0.3">
      <c r="A33" s="11" t="s">
        <v>93</v>
      </c>
      <c r="B33" s="5" t="s">
        <v>50</v>
      </c>
      <c r="C33" s="5" t="s">
        <v>15</v>
      </c>
      <c r="D33" s="5" t="s">
        <v>15</v>
      </c>
      <c r="E33" s="5" t="s">
        <v>50</v>
      </c>
      <c r="F33" s="5" t="s">
        <v>50</v>
      </c>
      <c r="G33" s="5" t="s">
        <v>15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17</v>
      </c>
      <c r="O33" s="5" t="s">
        <v>50</v>
      </c>
      <c r="P33">
        <f t="shared" si="0"/>
        <v>1</v>
      </c>
    </row>
    <row r="34" spans="1:16" x14ac:dyDescent="0.3">
      <c r="A34" s="16" t="s">
        <v>94</v>
      </c>
      <c r="B34" s="17" t="s">
        <v>18</v>
      </c>
      <c r="C34" s="17" t="s">
        <v>18</v>
      </c>
      <c r="D34" s="17" t="s">
        <v>18</v>
      </c>
      <c r="E34" s="17" t="s">
        <v>18</v>
      </c>
      <c r="F34" s="17" t="s">
        <v>15</v>
      </c>
      <c r="G34" s="17" t="s">
        <v>15</v>
      </c>
      <c r="H34" s="17" t="s">
        <v>15</v>
      </c>
      <c r="I34" s="18" t="s">
        <v>24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22</v>
      </c>
      <c r="O34" s="17" t="s">
        <v>18</v>
      </c>
      <c r="P34">
        <f t="shared" ref="P34:P61" si="1">IF(O34="OFF",0,
IF(VALUE(LEFT(O34,2))&lt;12,0,1))</f>
        <v>1</v>
      </c>
    </row>
    <row r="35" spans="1:16" s="36" customFormat="1" x14ac:dyDescent="0.3">
      <c r="A35" s="31" t="s">
        <v>95</v>
      </c>
      <c r="B35" s="32" t="s">
        <v>15</v>
      </c>
      <c r="C35" s="37" t="s">
        <v>42</v>
      </c>
      <c r="D35" s="37" t="s">
        <v>42</v>
      </c>
      <c r="E35" s="37" t="s">
        <v>42</v>
      </c>
      <c r="F35" s="37" t="s">
        <v>42</v>
      </c>
      <c r="G35" s="32" t="s">
        <v>15</v>
      </c>
      <c r="H35" s="32" t="s">
        <v>15</v>
      </c>
      <c r="I35" s="33" t="s">
        <v>36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32</v>
      </c>
      <c r="O35" s="37" t="s">
        <v>42</v>
      </c>
      <c r="P35">
        <f t="shared" si="1"/>
        <v>0</v>
      </c>
    </row>
    <row r="36" spans="1:16" x14ac:dyDescent="0.3">
      <c r="A36" s="16" t="s">
        <v>96</v>
      </c>
      <c r="B36" s="17" t="s">
        <v>28</v>
      </c>
      <c r="C36" s="17" t="s">
        <v>28</v>
      </c>
      <c r="D36" s="17" t="s">
        <v>28</v>
      </c>
      <c r="E36" s="17" t="s">
        <v>15</v>
      </c>
      <c r="F36" s="17" t="s">
        <v>28</v>
      </c>
      <c r="G36" s="17" t="s">
        <v>15</v>
      </c>
      <c r="H36" s="17" t="s">
        <v>15</v>
      </c>
      <c r="I36" s="18" t="s">
        <v>21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30</v>
      </c>
      <c r="O36" s="17" t="s">
        <v>28</v>
      </c>
      <c r="P36">
        <f t="shared" si="1"/>
        <v>0</v>
      </c>
    </row>
    <row r="37" spans="1:16" x14ac:dyDescent="0.3">
      <c r="A37" s="11" t="s">
        <v>97</v>
      </c>
      <c r="B37" s="5" t="s">
        <v>20</v>
      </c>
      <c r="C37" s="5" t="s">
        <v>15</v>
      </c>
      <c r="D37" s="5" t="s">
        <v>20</v>
      </c>
      <c r="E37" s="5" t="s">
        <v>20</v>
      </c>
      <c r="F37" s="5" t="s">
        <v>20</v>
      </c>
      <c r="G37" s="5" t="s">
        <v>15</v>
      </c>
      <c r="H37" s="5" t="s">
        <v>15</v>
      </c>
      <c r="I37" s="6" t="s">
        <v>33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17</v>
      </c>
      <c r="O37" s="5" t="s">
        <v>20</v>
      </c>
      <c r="P37">
        <f t="shared" si="1"/>
        <v>0</v>
      </c>
    </row>
    <row r="38" spans="1:16" x14ac:dyDescent="0.3">
      <c r="A38" s="11" t="s">
        <v>98</v>
      </c>
      <c r="B38" s="5" t="s">
        <v>52</v>
      </c>
      <c r="C38" s="5" t="s">
        <v>52</v>
      </c>
      <c r="D38" s="5" t="s">
        <v>52</v>
      </c>
      <c r="E38" s="5" t="s">
        <v>15</v>
      </c>
      <c r="F38" s="5" t="s">
        <v>15</v>
      </c>
      <c r="G38" s="5" t="s">
        <v>52</v>
      </c>
      <c r="H38" s="5" t="s">
        <v>15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32</v>
      </c>
      <c r="O38" s="5" t="s">
        <v>52</v>
      </c>
      <c r="P38">
        <f t="shared" si="1"/>
        <v>1</v>
      </c>
    </row>
    <row r="39" spans="1:16" x14ac:dyDescent="0.3">
      <c r="A39" s="11" t="s">
        <v>99</v>
      </c>
      <c r="B39" s="5" t="s">
        <v>20</v>
      </c>
      <c r="C39" s="5" t="s">
        <v>20</v>
      </c>
      <c r="D39" s="5" t="s">
        <v>15</v>
      </c>
      <c r="E39" s="5" t="s">
        <v>20</v>
      </c>
      <c r="F39" s="5" t="s">
        <v>20</v>
      </c>
      <c r="G39" s="5" t="s">
        <v>15</v>
      </c>
      <c r="H39" s="5" t="s">
        <v>15</v>
      </c>
      <c r="I39" s="6" t="s">
        <v>35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27</v>
      </c>
      <c r="O39" s="5" t="s">
        <v>20</v>
      </c>
      <c r="P39">
        <f t="shared" si="1"/>
        <v>0</v>
      </c>
    </row>
    <row r="40" spans="1:16" x14ac:dyDescent="0.3">
      <c r="A40" s="16" t="s">
        <v>100</v>
      </c>
      <c r="B40" s="17" t="s">
        <v>15</v>
      </c>
      <c r="C40" s="17" t="s">
        <v>46</v>
      </c>
      <c r="D40" s="17" t="s">
        <v>46</v>
      </c>
      <c r="E40" s="17" t="s">
        <v>46</v>
      </c>
      <c r="F40" s="17" t="s">
        <v>46</v>
      </c>
      <c r="G40" s="17" t="s">
        <v>15</v>
      </c>
      <c r="H40" s="17" t="s">
        <v>15</v>
      </c>
      <c r="I40" s="18" t="s">
        <v>36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22</v>
      </c>
      <c r="O40" s="17" t="s">
        <v>46</v>
      </c>
      <c r="P40">
        <f t="shared" si="1"/>
        <v>1</v>
      </c>
    </row>
    <row r="41" spans="1:16" x14ac:dyDescent="0.3">
      <c r="A41" s="11" t="s">
        <v>101</v>
      </c>
      <c r="B41" s="5" t="s">
        <v>20</v>
      </c>
      <c r="C41" s="5" t="s">
        <v>20</v>
      </c>
      <c r="D41" s="5" t="s">
        <v>15</v>
      </c>
      <c r="E41" s="5" t="s">
        <v>20</v>
      </c>
      <c r="F41" s="5" t="s">
        <v>20</v>
      </c>
      <c r="G41" s="5" t="s">
        <v>15</v>
      </c>
      <c r="H41" s="5" t="s">
        <v>15</v>
      </c>
      <c r="I41" s="6" t="s">
        <v>35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17</v>
      </c>
      <c r="O41" s="5" t="s">
        <v>20</v>
      </c>
      <c r="P41">
        <f t="shared" si="1"/>
        <v>0</v>
      </c>
    </row>
    <row r="42" spans="1:16" x14ac:dyDescent="0.3">
      <c r="A42" s="11" t="s">
        <v>102</v>
      </c>
      <c r="B42" s="5" t="s">
        <v>28</v>
      </c>
      <c r="C42" s="5" t="s">
        <v>28</v>
      </c>
      <c r="D42" s="5" t="s">
        <v>15</v>
      </c>
      <c r="E42" s="5" t="s">
        <v>28</v>
      </c>
      <c r="F42" s="5" t="s">
        <v>28</v>
      </c>
      <c r="G42" s="5" t="s">
        <v>15</v>
      </c>
      <c r="H42" s="5" t="s">
        <v>15</v>
      </c>
      <c r="I42" s="6" t="s">
        <v>35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27</v>
      </c>
      <c r="O42" s="5" t="s">
        <v>28</v>
      </c>
      <c r="P42">
        <f t="shared" si="1"/>
        <v>0</v>
      </c>
    </row>
    <row r="43" spans="1:16" x14ac:dyDescent="0.3">
      <c r="A43" s="11" t="s">
        <v>103</v>
      </c>
      <c r="B43" s="5" t="s">
        <v>28</v>
      </c>
      <c r="C43" s="5" t="s">
        <v>28</v>
      </c>
      <c r="D43" s="5" t="s">
        <v>28</v>
      </c>
      <c r="E43" s="5" t="s">
        <v>28</v>
      </c>
      <c r="F43" s="5" t="s">
        <v>15</v>
      </c>
      <c r="G43" s="5" t="s">
        <v>15</v>
      </c>
      <c r="H43" s="5" t="s">
        <v>15</v>
      </c>
      <c r="I43" s="6" t="s">
        <v>24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30</v>
      </c>
      <c r="O43" s="5" t="s">
        <v>28</v>
      </c>
      <c r="P43">
        <f t="shared" si="1"/>
        <v>0</v>
      </c>
    </row>
    <row r="44" spans="1:16" x14ac:dyDescent="0.3">
      <c r="A44" s="16" t="s">
        <v>104</v>
      </c>
      <c r="B44" s="17" t="s">
        <v>15</v>
      </c>
      <c r="C44" s="17" t="s">
        <v>15</v>
      </c>
      <c r="D44" s="17" t="s">
        <v>54</v>
      </c>
      <c r="E44" s="17" t="s">
        <v>54</v>
      </c>
      <c r="F44" s="17" t="s">
        <v>54</v>
      </c>
      <c r="G44" s="17" t="s">
        <v>54</v>
      </c>
      <c r="H44" s="17" t="s">
        <v>15</v>
      </c>
      <c r="I44" s="18" t="s">
        <v>55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32</v>
      </c>
      <c r="O44" s="17" t="s">
        <v>54</v>
      </c>
      <c r="P44">
        <f t="shared" si="1"/>
        <v>1</v>
      </c>
    </row>
    <row r="45" spans="1:16" x14ac:dyDescent="0.3">
      <c r="A45" s="10" t="s">
        <v>105</v>
      </c>
      <c r="B45" s="1" t="s">
        <v>28</v>
      </c>
      <c r="C45" s="1" t="s">
        <v>28</v>
      </c>
      <c r="D45" s="1" t="s">
        <v>15</v>
      </c>
      <c r="E45" s="1" t="s">
        <v>28</v>
      </c>
      <c r="F45" s="1" t="s">
        <v>28</v>
      </c>
      <c r="G45" s="1" t="s">
        <v>15</v>
      </c>
      <c r="H45" s="1" t="s">
        <v>15</v>
      </c>
      <c r="I45" s="2" t="s">
        <v>24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17</v>
      </c>
      <c r="O45" s="1" t="s">
        <v>28</v>
      </c>
      <c r="P45">
        <f t="shared" si="1"/>
        <v>0</v>
      </c>
    </row>
    <row r="46" spans="1:16" x14ac:dyDescent="0.3">
      <c r="A46" s="16" t="s">
        <v>106</v>
      </c>
      <c r="B46" s="17" t="s">
        <v>15</v>
      </c>
      <c r="C46" s="17" t="s">
        <v>28</v>
      </c>
      <c r="D46" s="17" t="s">
        <v>28</v>
      </c>
      <c r="E46" s="17" t="s">
        <v>28</v>
      </c>
      <c r="F46" s="17" t="s">
        <v>28</v>
      </c>
      <c r="G46" s="17" t="s">
        <v>15</v>
      </c>
      <c r="H46" s="17" t="s">
        <v>15</v>
      </c>
      <c r="I46" s="18" t="s">
        <v>36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27</v>
      </c>
      <c r="O46" s="17" t="s">
        <v>28</v>
      </c>
      <c r="P46">
        <f t="shared" si="1"/>
        <v>0</v>
      </c>
    </row>
    <row r="47" spans="1:16" x14ac:dyDescent="0.3">
      <c r="A47" s="10" t="s">
        <v>107</v>
      </c>
      <c r="B47" s="1" t="s">
        <v>43</v>
      </c>
      <c r="C47" s="1" t="s">
        <v>43</v>
      </c>
      <c r="D47" s="1" t="s">
        <v>15</v>
      </c>
      <c r="E47" s="1" t="s">
        <v>15</v>
      </c>
      <c r="F47" s="1" t="s">
        <v>15</v>
      </c>
      <c r="G47" s="1" t="s">
        <v>43</v>
      </c>
      <c r="H47" s="1" t="s">
        <v>43</v>
      </c>
      <c r="I47" s="2" t="s">
        <v>16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17</v>
      </c>
      <c r="O47" s="1" t="s">
        <v>43</v>
      </c>
      <c r="P47">
        <f t="shared" si="1"/>
        <v>0</v>
      </c>
    </row>
    <row r="48" spans="1:16" x14ac:dyDescent="0.3">
      <c r="A48" s="16" t="s">
        <v>108</v>
      </c>
      <c r="B48" s="17" t="s">
        <v>15</v>
      </c>
      <c r="C48" s="17" t="s">
        <v>15</v>
      </c>
      <c r="D48" s="17" t="s">
        <v>15</v>
      </c>
      <c r="E48" s="17" t="s">
        <v>25</v>
      </c>
      <c r="F48" s="17" t="s">
        <v>25</v>
      </c>
      <c r="G48" s="17" t="s">
        <v>25</v>
      </c>
      <c r="H48" s="17" t="s">
        <v>25</v>
      </c>
      <c r="I48" s="18" t="s">
        <v>26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32</v>
      </c>
      <c r="O48" s="17" t="s">
        <v>25</v>
      </c>
      <c r="P48">
        <f t="shared" si="1"/>
        <v>1</v>
      </c>
    </row>
    <row r="49" spans="1:16" x14ac:dyDescent="0.3">
      <c r="A49" s="10" t="s">
        <v>109</v>
      </c>
      <c r="B49" s="1" t="s">
        <v>56</v>
      </c>
      <c r="C49" s="1" t="s">
        <v>56</v>
      </c>
      <c r="D49" s="1" t="s">
        <v>56</v>
      </c>
      <c r="E49" s="1" t="s">
        <v>56</v>
      </c>
      <c r="F49" s="1" t="s">
        <v>15</v>
      </c>
      <c r="G49" s="1" t="s">
        <v>15</v>
      </c>
      <c r="H49" s="1" t="s">
        <v>15</v>
      </c>
      <c r="I49" s="2" t="s">
        <v>24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22</v>
      </c>
      <c r="O49" s="1" t="s">
        <v>56</v>
      </c>
      <c r="P49">
        <f t="shared" si="1"/>
        <v>1</v>
      </c>
    </row>
    <row r="50" spans="1:16" x14ac:dyDescent="0.3">
      <c r="A50" s="11" t="s">
        <v>110</v>
      </c>
      <c r="B50" s="5" t="s">
        <v>15</v>
      </c>
      <c r="C50" s="5" t="s">
        <v>15</v>
      </c>
      <c r="D50" s="5" t="s">
        <v>15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32</v>
      </c>
      <c r="O50" s="5" t="s">
        <v>44</v>
      </c>
      <c r="P50">
        <f t="shared" si="1"/>
        <v>0</v>
      </c>
    </row>
    <row r="51" spans="1:16" x14ac:dyDescent="0.3">
      <c r="A51" s="10" t="s">
        <v>111</v>
      </c>
      <c r="B51" s="1" t="s">
        <v>28</v>
      </c>
      <c r="C51" s="1" t="s">
        <v>15</v>
      </c>
      <c r="D51" s="1" t="s">
        <v>15</v>
      </c>
      <c r="E51" s="1" t="s">
        <v>15</v>
      </c>
      <c r="F51" s="1" t="s">
        <v>28</v>
      </c>
      <c r="G51" s="1" t="s">
        <v>28</v>
      </c>
      <c r="H51" s="1" t="s">
        <v>28</v>
      </c>
      <c r="I51" s="2" t="s">
        <v>31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32</v>
      </c>
      <c r="O51" s="1" t="s">
        <v>28</v>
      </c>
      <c r="P51">
        <f t="shared" si="1"/>
        <v>0</v>
      </c>
    </row>
    <row r="52" spans="1:16" x14ac:dyDescent="0.3">
      <c r="A52" s="11" t="s">
        <v>112</v>
      </c>
      <c r="B52" s="5" t="s">
        <v>28</v>
      </c>
      <c r="C52" s="5" t="s">
        <v>15</v>
      </c>
      <c r="D52" s="5" t="s">
        <v>15</v>
      </c>
      <c r="E52" s="5" t="s">
        <v>15</v>
      </c>
      <c r="F52" s="5" t="s">
        <v>28</v>
      </c>
      <c r="G52" s="5" t="s">
        <v>28</v>
      </c>
      <c r="H52" s="5" t="s">
        <v>28</v>
      </c>
      <c r="I52" s="6" t="s">
        <v>31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30</v>
      </c>
      <c r="O52" s="5" t="s">
        <v>28</v>
      </c>
      <c r="P52">
        <f t="shared" si="1"/>
        <v>0</v>
      </c>
    </row>
    <row r="53" spans="1:16" x14ac:dyDescent="0.3">
      <c r="A53" s="16" t="s">
        <v>113</v>
      </c>
      <c r="B53" s="17" t="s">
        <v>46</v>
      </c>
      <c r="C53" s="17" t="s">
        <v>46</v>
      </c>
      <c r="D53" s="17" t="s">
        <v>46</v>
      </c>
      <c r="E53" s="17" t="s">
        <v>15</v>
      </c>
      <c r="F53" s="17" t="s">
        <v>15</v>
      </c>
      <c r="G53" s="17" t="s">
        <v>15</v>
      </c>
      <c r="H53" s="17" t="s">
        <v>46</v>
      </c>
      <c r="I53" s="18" t="s">
        <v>19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32</v>
      </c>
      <c r="O53" s="17" t="s">
        <v>46</v>
      </c>
      <c r="P53">
        <f t="shared" si="1"/>
        <v>1</v>
      </c>
    </row>
    <row r="54" spans="1:16" x14ac:dyDescent="0.3">
      <c r="A54" s="30" t="s">
        <v>114</v>
      </c>
      <c r="B54" s="9" t="s">
        <v>58</v>
      </c>
      <c r="C54" s="9" t="s">
        <v>58</v>
      </c>
      <c r="D54" s="1" t="s">
        <v>15</v>
      </c>
      <c r="E54" s="1" t="s">
        <v>15</v>
      </c>
      <c r="F54" s="1" t="s">
        <v>15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  <c r="O54" s="9" t="s">
        <v>58</v>
      </c>
      <c r="P54">
        <f t="shared" si="1"/>
        <v>0</v>
      </c>
    </row>
    <row r="55" spans="1:16" x14ac:dyDescent="0.3">
      <c r="A55" s="11" t="s">
        <v>115</v>
      </c>
      <c r="B55" s="5" t="s">
        <v>15</v>
      </c>
      <c r="C55" s="5" t="s">
        <v>15</v>
      </c>
      <c r="D55" s="5" t="s">
        <v>60</v>
      </c>
      <c r="E55" s="5" t="s">
        <v>60</v>
      </c>
      <c r="F55" s="5" t="s">
        <v>15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30</v>
      </c>
      <c r="O55" s="5" t="s">
        <v>60</v>
      </c>
      <c r="P55">
        <f t="shared" si="1"/>
        <v>1</v>
      </c>
    </row>
    <row r="56" spans="1:16" x14ac:dyDescent="0.3">
      <c r="A56" s="10" t="s">
        <v>116</v>
      </c>
      <c r="B56" s="1" t="s">
        <v>15</v>
      </c>
      <c r="C56" s="1" t="s">
        <v>15</v>
      </c>
      <c r="D56" s="1" t="s">
        <v>28</v>
      </c>
      <c r="E56" s="1" t="s">
        <v>28</v>
      </c>
      <c r="F56" s="1" t="s">
        <v>28</v>
      </c>
      <c r="G56" s="1" t="s">
        <v>28</v>
      </c>
      <c r="H56" s="1" t="s">
        <v>15</v>
      </c>
      <c r="I56" s="2" t="s">
        <v>29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22</v>
      </c>
      <c r="O56" s="1" t="s">
        <v>28</v>
      </c>
      <c r="P56">
        <f t="shared" si="1"/>
        <v>0</v>
      </c>
    </row>
    <row r="57" spans="1:16" x14ac:dyDescent="0.3">
      <c r="A57" s="16" t="s">
        <v>117</v>
      </c>
      <c r="B57" s="17" t="s">
        <v>62</v>
      </c>
      <c r="C57" s="17" t="s">
        <v>62</v>
      </c>
      <c r="D57" s="17" t="s">
        <v>15</v>
      </c>
      <c r="E57" s="17" t="s">
        <v>15</v>
      </c>
      <c r="F57" s="17" t="s">
        <v>15</v>
      </c>
      <c r="G57" s="17" t="s">
        <v>62</v>
      </c>
      <c r="H57" s="17" t="s">
        <v>62</v>
      </c>
      <c r="I57" s="18" t="s">
        <v>16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27</v>
      </c>
      <c r="O57" s="17" t="s">
        <v>62</v>
      </c>
      <c r="P57">
        <f t="shared" si="1"/>
        <v>0</v>
      </c>
    </row>
    <row r="58" spans="1:16" x14ac:dyDescent="0.3">
      <c r="A58" s="11" t="s">
        <v>79</v>
      </c>
      <c r="B58" s="5" t="s">
        <v>39</v>
      </c>
      <c r="C58" s="5" t="s">
        <v>39</v>
      </c>
      <c r="D58" s="5" t="s">
        <v>15</v>
      </c>
      <c r="E58" s="5" t="s">
        <v>15</v>
      </c>
      <c r="F58" s="5" t="s">
        <v>15</v>
      </c>
      <c r="G58" s="5" t="s">
        <v>39</v>
      </c>
      <c r="H58" s="5" t="s">
        <v>39</v>
      </c>
      <c r="I58" s="6" t="s">
        <v>16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27</v>
      </c>
      <c r="O58" s="5" t="s">
        <v>39</v>
      </c>
      <c r="P58">
        <f t="shared" si="1"/>
        <v>0</v>
      </c>
    </row>
    <row r="59" spans="1:16" x14ac:dyDescent="0.3">
      <c r="A59" s="11" t="s">
        <v>118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  <c r="O59" s="5" t="s">
        <v>28</v>
      </c>
      <c r="P59">
        <f t="shared" si="1"/>
        <v>0</v>
      </c>
    </row>
    <row r="60" spans="1:16" x14ac:dyDescent="0.3">
      <c r="A60" s="11" t="s">
        <v>119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  <c r="O60" s="5" t="s">
        <v>62</v>
      </c>
      <c r="P60">
        <f t="shared" si="1"/>
        <v>0</v>
      </c>
    </row>
    <row r="61" spans="1:16" x14ac:dyDescent="0.3">
      <c r="A61" s="11" t="s">
        <v>120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  <c r="O61" s="5" t="s">
        <v>20</v>
      </c>
      <c r="P61">
        <f t="shared" si="1"/>
        <v>0</v>
      </c>
    </row>
  </sheetData>
  <autoFilter ref="A1:O61" xr:uid="{B741E4C5-4AB3-495A-BC0E-EE9A88F70393}">
    <sortState xmlns:xlrd2="http://schemas.microsoft.com/office/spreadsheetml/2017/richdata2" ref="A2:O61">
      <sortCondition ref="A1:A61"/>
    </sortState>
  </autoFilter>
  <conditionalFormatting sqref="A2:I61">
    <cfRule type="cellIs" dxfId="6" priority="3" operator="equal">
      <formula>"OFF"</formula>
    </cfRule>
  </conditionalFormatting>
  <conditionalFormatting sqref="I57:I58">
    <cfRule type="cellIs" dxfId="5" priority="4" operator="equal">
      <formula>"OFF"</formula>
    </cfRule>
  </conditionalFormatting>
  <conditionalFormatting sqref="O2:O61">
    <cfRule type="cellIs" dxfId="4" priority="1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1"/>
  <sheetViews>
    <sheetView workbookViewId="0">
      <selection activeCell="O2" sqref="O2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  <col min="15" max="15" width="13.21875" bestFit="1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140</v>
      </c>
      <c r="P1" s="39" t="s">
        <v>129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:I33" si="0">_xlfn.TEXTJOIN(" - ",TRUE,
IF(B2="OFF","Mon",""),
IF(C2="OFF","Tue",""),
IF(D2="OFF","Wed",""),
IF(E2="OFF","Thu",""),
IF(F2="OFF","Fri",""),
IF(G2="OFF","Sat",""),
IF(H2="OFF","Sun",""))</f>
        <v>Wed - Thu - Fri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  <c r="O2" t="s">
        <v>18</v>
      </c>
      <c r="P2">
        <f t="shared" ref="P2:P33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si="0"/>
        <v>Fri - Sat - Sun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  <c r="O3" t="s">
        <v>14</v>
      </c>
      <c r="P3">
        <f t="shared" si="1"/>
        <v>1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  <c r="O4" t="s">
        <v>25</v>
      </c>
      <c r="P4">
        <f t="shared" si="1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Fri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  <c r="O5" t="s">
        <v>133</v>
      </c>
      <c r="P5">
        <f t="shared" si="1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Tue - Wed - Thu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  <c r="O6" t="s">
        <v>20</v>
      </c>
      <c r="P6">
        <f t="shared" si="1"/>
        <v>1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  <c r="O7" t="s">
        <v>48</v>
      </c>
      <c r="P7">
        <f t="shared" si="1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Thu - Sat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  <c r="O8" t="s">
        <v>48</v>
      </c>
      <c r="P8">
        <f t="shared" si="1"/>
        <v>0</v>
      </c>
    </row>
    <row r="9" spans="1:16" x14ac:dyDescent="0.3">
      <c r="A9" t="str">
        <f>EST!A9</f>
        <v>CARLOS JR.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Tue - Wed - Thu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  <c r="O9" t="s">
        <v>48</v>
      </c>
      <c r="P9">
        <f t="shared" si="1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  <c r="O10" t="s">
        <v>48</v>
      </c>
      <c r="P10">
        <f t="shared" si="1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Wed - Sat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  <c r="O11" t="s">
        <v>131</v>
      </c>
      <c r="P11">
        <f t="shared" si="1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  <c r="O12" t="s">
        <v>48</v>
      </c>
      <c r="P12">
        <f t="shared" si="1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Fri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  <c r="O13" t="s">
        <v>133</v>
      </c>
      <c r="P13">
        <f t="shared" si="1"/>
        <v>0</v>
      </c>
    </row>
    <row r="14" spans="1:16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  <c r="O14" t="s">
        <v>134</v>
      </c>
      <c r="P14">
        <f t="shared" si="1"/>
        <v>0</v>
      </c>
    </row>
    <row r="15" spans="1:16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OFF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20:00 - 07:00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Tue - Wed - Thu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  <c r="O15" t="s">
        <v>25</v>
      </c>
      <c r="P15">
        <f t="shared" si="1"/>
        <v>0</v>
      </c>
    </row>
    <row r="16" spans="1:16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23:00 - 10:00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OFF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Fri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  <c r="O16" t="s">
        <v>60</v>
      </c>
      <c r="P16">
        <f t="shared" si="1"/>
        <v>0</v>
      </c>
    </row>
    <row r="17" spans="1:16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21:00 - 08:00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OFF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21:00 - 08:00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Thu - Sat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  <c r="O17" t="s">
        <v>48</v>
      </c>
      <c r="P17">
        <f t="shared" si="1"/>
        <v>0</v>
      </c>
    </row>
    <row r="18" spans="1:16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OFF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21:00 - 08:00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Wed - Sat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  <c r="O18" t="s">
        <v>48</v>
      </c>
      <c r="P18">
        <f t="shared" si="1"/>
        <v>0</v>
      </c>
    </row>
    <row r="19" spans="1:16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20:00 - 07:00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20:00 - 07:00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0"/>
        <v>Wed - Sat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  <c r="O19" t="s">
        <v>25</v>
      </c>
      <c r="P19">
        <f t="shared" si="1"/>
        <v>0</v>
      </c>
    </row>
    <row r="20" spans="1:16" x14ac:dyDescent="0.3">
      <c r="A20" t="str">
        <f>EST!A20</f>
        <v>FRANCIS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0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  <c r="O20" t="s">
        <v>42</v>
      </c>
      <c r="P20">
        <f t="shared" si="1"/>
        <v>1</v>
      </c>
    </row>
    <row r="21" spans="1:16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18:00 - 05:00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0"/>
        <v>Fri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  <c r="O21" t="s">
        <v>40</v>
      </c>
      <c r="P21">
        <f t="shared" si="1"/>
        <v>0</v>
      </c>
    </row>
    <row r="22" spans="1:16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OFF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17:00 - 04:00</v>
      </c>
      <c r="I22" t="str">
        <f t="shared" si="0"/>
        <v>Thu - Fri - Sat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  <c r="O22" t="s">
        <v>46</v>
      </c>
      <c r="P22">
        <f t="shared" si="1"/>
        <v>0</v>
      </c>
    </row>
    <row r="23" spans="1:16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22:00 - 09:00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0"/>
        <v>Fri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  <c r="O23" t="s">
        <v>56</v>
      </c>
      <c r="P23">
        <f t="shared" si="1"/>
        <v>0</v>
      </c>
    </row>
    <row r="24" spans="1:16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0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  <c r="O24" t="s">
        <v>25</v>
      </c>
      <c r="P24">
        <f t="shared" si="1"/>
        <v>0</v>
      </c>
    </row>
    <row r="25" spans="1:16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0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  <c r="O25" t="s">
        <v>60</v>
      </c>
      <c r="P25">
        <f t="shared" si="1"/>
        <v>0</v>
      </c>
    </row>
    <row r="26" spans="1:16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0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  <c r="O26" t="s">
        <v>130</v>
      </c>
      <c r="P26">
        <f t="shared" si="1"/>
        <v>0</v>
      </c>
    </row>
    <row r="27" spans="1:16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OFF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10:00 - 21:00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10:00 - 21:00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0"/>
        <v>Mon - Thu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  <c r="O27" t="s">
        <v>44</v>
      </c>
      <c r="P27">
        <f t="shared" si="1"/>
        <v>1</v>
      </c>
    </row>
    <row r="28" spans="1:16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0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  <c r="O28" t="s">
        <v>25</v>
      </c>
      <c r="P28">
        <f t="shared" si="1"/>
        <v>0</v>
      </c>
    </row>
    <row r="29" spans="1:16" x14ac:dyDescent="0.3">
      <c r="A29" t="str">
        <f>EST!A29</f>
        <v>JHANELLE JANE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OFF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00:00 - 11:00</v>
      </c>
      <c r="I29" t="str">
        <f t="shared" si="0"/>
        <v>Mon - Tue - Wed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  <c r="O29" t="s">
        <v>135</v>
      </c>
      <c r="P29">
        <f t="shared" si="1"/>
        <v>1</v>
      </c>
    </row>
    <row r="30" spans="1:16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0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  <c r="O30" t="s">
        <v>46</v>
      </c>
      <c r="P30">
        <f t="shared" si="1"/>
        <v>0</v>
      </c>
    </row>
    <row r="31" spans="1:16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09:00 - 20:00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0"/>
        <v>Thu - Fri - Sat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  <c r="O31" t="s">
        <v>28</v>
      </c>
      <c r="P31">
        <f t="shared" si="1"/>
        <v>1</v>
      </c>
    </row>
    <row r="32" spans="1:16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0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  <c r="O32" t="s">
        <v>40</v>
      </c>
      <c r="P32">
        <f t="shared" si="1"/>
        <v>0</v>
      </c>
    </row>
    <row r="33" spans="1:16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09:00 - 20:00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OFF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09:00 - 20:00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0"/>
        <v>Wed - Thu - Sun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  <c r="O33" t="s">
        <v>28</v>
      </c>
      <c r="P33">
        <f t="shared" si="1"/>
        <v>1</v>
      </c>
    </row>
    <row r="34" spans="1:16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OFF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01:00 - 12:00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ref="I34:I61" si="2">_xlfn.TEXTJOIN(" - ",TRUE,
IF(B34="OFF","Mon",""),
IF(C34="OFF","Tue",""),
IF(D34="OFF","Wed",""),
IF(E34="OFF","Thu",""),
IF(F34="OFF","Fri",""),
IF(G34="OFF","Sat",""),
IF(H34="OFF","Sun",""))</f>
        <v>Mon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  <c r="O34" t="s">
        <v>14</v>
      </c>
      <c r="P34">
        <f>IF(
TIMEVALUE(LEFT(O34,FIND("-",O34)-1))&gt;=12/24,
0,
1
)</f>
        <v>1</v>
      </c>
    </row>
    <row r="35" spans="1:16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  <c r="O35" t="s">
        <v>40</v>
      </c>
      <c r="P35">
        <f>IF(
TIMEVALUE(LEFT(O35,FIND("-",O35)-1))&gt;=12/24,
0,
1
)</f>
        <v>0</v>
      </c>
    </row>
    <row r="36" spans="1:16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  <c r="O36" t="s">
        <v>48</v>
      </c>
      <c r="P36">
        <f t="shared" ref="P36:P61" si="3">IF(
TIMEVALUE(LEFT(O36,FIND("-",O36)-1))&gt;=12/24,
0,
1
)</f>
        <v>0</v>
      </c>
    </row>
    <row r="37" spans="1:16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  <c r="O37" t="s">
        <v>25</v>
      </c>
      <c r="P37">
        <f t="shared" si="3"/>
        <v>0</v>
      </c>
    </row>
    <row r="38" spans="1:16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OFF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10:30 - 21:30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10:30 - 21:30</v>
      </c>
      <c r="I38" t="str">
        <f t="shared" si="2"/>
        <v>Mon - Fri - Sat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  <c r="O38" t="s">
        <v>39</v>
      </c>
      <c r="P38">
        <f t="shared" si="3"/>
        <v>1</v>
      </c>
    </row>
    <row r="39" spans="1:16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  <c r="O39" t="s">
        <v>25</v>
      </c>
      <c r="P39">
        <f t="shared" si="3"/>
        <v>0</v>
      </c>
    </row>
    <row r="40" spans="1:16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OFF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05:00 - 16:00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2"/>
        <v>Mon - Tue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  <c r="O40" t="s">
        <v>43</v>
      </c>
      <c r="P40">
        <f t="shared" si="3"/>
        <v>1</v>
      </c>
    </row>
    <row r="41" spans="1:16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  <c r="O41" t="s">
        <v>25</v>
      </c>
      <c r="P41">
        <f t="shared" si="3"/>
        <v>0</v>
      </c>
    </row>
    <row r="42" spans="1:16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  <c r="O42" t="s">
        <v>48</v>
      </c>
      <c r="P42">
        <f t="shared" si="3"/>
        <v>0</v>
      </c>
    </row>
    <row r="43" spans="1:16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  <c r="O43" t="s">
        <v>48</v>
      </c>
      <c r="P43">
        <f t="shared" si="3"/>
        <v>0</v>
      </c>
    </row>
    <row r="44" spans="1:16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06:30 - 17:30</v>
      </c>
      <c r="I44" t="str">
        <f t="shared" si="2"/>
        <v>Mon - Tue - Wed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  <c r="O44" t="s">
        <v>136</v>
      </c>
      <c r="P44">
        <f t="shared" si="3"/>
        <v>1</v>
      </c>
    </row>
    <row r="45" spans="1:16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  <c r="O45" t="s">
        <v>48</v>
      </c>
      <c r="P45">
        <f t="shared" si="3"/>
        <v>0</v>
      </c>
    </row>
    <row r="46" spans="1:16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2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  <c r="O46" t="s">
        <v>48</v>
      </c>
      <c r="P46">
        <f t="shared" si="3"/>
        <v>0</v>
      </c>
    </row>
    <row r="47" spans="1:16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2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  <c r="O47" t="s">
        <v>46</v>
      </c>
      <c r="P47">
        <f t="shared" si="3"/>
        <v>0</v>
      </c>
    </row>
    <row r="48" spans="1:16" x14ac:dyDescent="0.3">
      <c r="A48" t="str">
        <f>EST!A48</f>
        <v>MARY ANGELINE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08:00 - 19:00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OFF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2"/>
        <v>Tue - Wed - Thu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  <c r="O48" t="s">
        <v>20</v>
      </c>
      <c r="P48">
        <f t="shared" si="3"/>
        <v>1</v>
      </c>
    </row>
    <row r="49" spans="1:16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OFF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10:00 - 21:00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2"/>
        <v>Mon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  <c r="O49" t="s">
        <v>44</v>
      </c>
      <c r="P49">
        <f t="shared" si="3"/>
        <v>1</v>
      </c>
    </row>
    <row r="50" spans="1:16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2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  <c r="O50" t="s">
        <v>56</v>
      </c>
      <c r="P50">
        <f t="shared" si="3"/>
        <v>0</v>
      </c>
    </row>
    <row r="51" spans="1:16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2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  <c r="O51" t="s">
        <v>48</v>
      </c>
      <c r="P51">
        <f t="shared" si="3"/>
        <v>0</v>
      </c>
    </row>
    <row r="52" spans="1:16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2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  <c r="O52" t="s">
        <v>48</v>
      </c>
      <c r="P52">
        <f t="shared" si="3"/>
        <v>0</v>
      </c>
    </row>
    <row r="53" spans="1:16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05:00 - 16:00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OFF</v>
      </c>
      <c r="I53" t="str">
        <f t="shared" si="2"/>
        <v>Fri - Sat - Sun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  <c r="O53" t="s">
        <v>43</v>
      </c>
      <c r="P53">
        <f t="shared" si="3"/>
        <v>1</v>
      </c>
    </row>
    <row r="54" spans="1:16" x14ac:dyDescent="0.3">
      <c r="A54" t="str">
        <f>EST!A54</f>
        <v>RAYNIEL MARK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2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  <c r="O54" t="s">
        <v>47</v>
      </c>
      <c r="P54">
        <f t="shared" si="3"/>
        <v>0</v>
      </c>
    </row>
    <row r="55" spans="1:16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11:00 - 22:00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OFF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11:00 - 22:00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2"/>
        <v>Tue - Wed - Sat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  <c r="O55" t="s">
        <v>38</v>
      </c>
      <c r="P55">
        <f t="shared" si="3"/>
        <v>1</v>
      </c>
    </row>
    <row r="56" spans="1:16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2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  <c r="O56" t="s">
        <v>48</v>
      </c>
      <c r="P56">
        <f t="shared" si="3"/>
        <v>0</v>
      </c>
    </row>
    <row r="57" spans="1:16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2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  <c r="O57" t="s">
        <v>132</v>
      </c>
      <c r="P57">
        <f t="shared" si="3"/>
        <v>0</v>
      </c>
    </row>
    <row r="58" spans="1:16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2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  <c r="O58" t="s">
        <v>52</v>
      </c>
      <c r="P58">
        <f t="shared" si="3"/>
        <v>0</v>
      </c>
    </row>
    <row r="59" spans="1:16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2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  <c r="O59" t="s">
        <v>48</v>
      </c>
      <c r="P59">
        <f t="shared" si="3"/>
        <v>0</v>
      </c>
    </row>
    <row r="60" spans="1:16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si="2"/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  <c r="O60" t="s">
        <v>132</v>
      </c>
      <c r="P60">
        <f t="shared" si="3"/>
        <v>0</v>
      </c>
    </row>
    <row r="61" spans="1:16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  <c r="O61" t="s">
        <v>25</v>
      </c>
      <c r="P61">
        <f t="shared" si="3"/>
        <v>0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G29"/>
  <sheetViews>
    <sheetView workbookViewId="0">
      <selection activeCell="D1" sqref="D1:E1"/>
    </sheetView>
  </sheetViews>
  <sheetFormatPr defaultRowHeight="14.4" x14ac:dyDescent="0.3"/>
  <cols>
    <col min="1" max="1" width="26.6640625" customWidth="1"/>
    <col min="2" max="3" width="10.33203125" style="29" bestFit="1" customWidth="1"/>
    <col min="4" max="5" width="11.44140625" style="29" bestFit="1" customWidth="1"/>
    <col min="6" max="6" width="7.88671875" bestFit="1" customWidth="1"/>
    <col min="7" max="7" width="16.6640625" bestFit="1" customWidth="1"/>
  </cols>
  <sheetData>
    <row r="1" spans="1:7" ht="17.399999999999999" thickBot="1" x14ac:dyDescent="0.35">
      <c r="A1" s="24" t="s">
        <v>0</v>
      </c>
      <c r="B1" s="28" t="s">
        <v>137</v>
      </c>
      <c r="C1" s="28" t="s">
        <v>138</v>
      </c>
      <c r="D1" s="28" t="s">
        <v>139</v>
      </c>
      <c r="E1" s="28" t="s">
        <v>140</v>
      </c>
      <c r="F1" s="24" t="s">
        <v>121</v>
      </c>
      <c r="G1" s="24" t="s">
        <v>13</v>
      </c>
    </row>
    <row r="2" spans="1:7" x14ac:dyDescent="0.3">
      <c r="A2" s="16" t="s">
        <v>87</v>
      </c>
      <c r="B2" s="29">
        <v>46315</v>
      </c>
      <c r="C2" s="29">
        <f>PTO!B2 +
_xlfn.XLOOKUP(
    PTO!A2,
    PH!$A:$A,
    PH!$P:$P,
    0
)</f>
        <v>46315</v>
      </c>
      <c r="D2" s="29" t="str">
        <f>VLOOKUP(A2,EST!A:O,15,FALSE)</f>
        <v>02:00 - 13:00</v>
      </c>
      <c r="E2" s="29" t="str">
        <f>VLOOKUP(A2,PH!A:O,15,FALSE)</f>
        <v>14:00 - 01:00</v>
      </c>
      <c r="F2" t="s">
        <v>123</v>
      </c>
      <c r="G2" t="str">
        <f>VLOOKUP(A2,EST!A:N,14,FALSE)</f>
        <v>Christopher Rodas</v>
      </c>
    </row>
    <row r="3" spans="1:7" x14ac:dyDescent="0.3">
      <c r="A3" t="s">
        <v>69</v>
      </c>
      <c r="B3" s="29">
        <v>46315</v>
      </c>
      <c r="C3" s="29">
        <f>PTO!B3 +
_xlfn.XLOOKUP(
    PTO!A3,
    PH!$A:$A,
    PH!$P:$P,
    0
)</f>
        <v>46315</v>
      </c>
      <c r="D3" s="29" t="str">
        <f>VLOOKUP(A3,EST!A:O,15,FALSE)</f>
        <v>09:00 - 20:00</v>
      </c>
      <c r="E3" s="29" t="str">
        <f>VLOOKUP(A3,PH!A:O,15,FALSE)</f>
        <v>21:00 - 08:00</v>
      </c>
      <c r="F3" t="s">
        <v>123</v>
      </c>
      <c r="G3" t="str">
        <f>VLOOKUP(A3,EST!A:N,14,FALSE)</f>
        <v>Michael Dominguez</v>
      </c>
    </row>
    <row r="4" spans="1:7" x14ac:dyDescent="0.3">
      <c r="A4" t="s">
        <v>63</v>
      </c>
      <c r="B4" s="29">
        <v>46315</v>
      </c>
      <c r="C4" s="29">
        <f>PTO!B4 +
_xlfn.XLOOKUP(
    PTO!A4,
    PH!$A:$A,
    PH!$P:$P,
    0
)</f>
        <v>46315</v>
      </c>
      <c r="D4" s="29" t="str">
        <f>VLOOKUP(A4,EST!A:O,15,FALSE)</f>
        <v>01:00 - 12:00</v>
      </c>
      <c r="E4" s="29" t="str">
        <f>VLOOKUP(A4,PH!A:O,15,FALSE)</f>
        <v>13:00 - 00:00</v>
      </c>
      <c r="F4" t="s">
        <v>123</v>
      </c>
      <c r="G4" t="str">
        <f>VLOOKUP(A4,EST!A:N,14,FALSE)</f>
        <v>Remmo Panaligan</v>
      </c>
    </row>
    <row r="5" spans="1:7" x14ac:dyDescent="0.3">
      <c r="A5" t="s">
        <v>80</v>
      </c>
      <c r="B5" s="29">
        <v>46316</v>
      </c>
      <c r="C5" s="29">
        <f>PTO!B5 +
_xlfn.XLOOKUP(
    PTO!A5,
    PH!$A:$A,
    PH!$P:$P,
    0
)</f>
        <v>46316</v>
      </c>
      <c r="D5" s="29" t="str">
        <f>VLOOKUP(A5,EST!A:O,15,FALSE)</f>
        <v>08:00 - 19:00</v>
      </c>
      <c r="E5" s="29" t="str">
        <f>VLOOKUP(A5,PH!A:O,15,FALSE)</f>
        <v>20:00 - 07:00</v>
      </c>
      <c r="F5" t="s">
        <v>123</v>
      </c>
      <c r="G5" t="str">
        <f>VLOOKUP(A5,EST!A:N,14,FALSE)</f>
        <v>Michael Dominguez</v>
      </c>
    </row>
    <row r="6" spans="1:7" x14ac:dyDescent="0.3">
      <c r="A6" t="s">
        <v>94</v>
      </c>
      <c r="B6" s="29">
        <v>46317</v>
      </c>
      <c r="C6" s="29">
        <f>PTO!B6 +
_xlfn.XLOOKUP(
    PTO!A6,
    PH!$A:$A,
    PH!$P:$P,
    0
)</f>
        <v>46318</v>
      </c>
      <c r="D6" s="29" t="str">
        <f>VLOOKUP(A6,EST!A:O,15,FALSE)</f>
        <v>13:00 - 00:00</v>
      </c>
      <c r="E6" s="29" t="str">
        <f>VLOOKUP(A6,PH!A:O,15,FALSE)</f>
        <v>01:00 - 12:00</v>
      </c>
      <c r="F6" t="s">
        <v>123</v>
      </c>
      <c r="G6" t="str">
        <f>VLOOKUP(A6,EST!A:N,14,FALSE)</f>
        <v>Manilyn Abellar</v>
      </c>
    </row>
    <row r="7" spans="1:7" x14ac:dyDescent="0.3">
      <c r="A7" t="s">
        <v>72</v>
      </c>
      <c r="B7" s="29">
        <v>46317</v>
      </c>
      <c r="C7" s="29">
        <f>PTO!B7 +
_xlfn.XLOOKUP(
    PTO!A7,
    PH!$A:$A,
    PH!$P:$P,
    0
)</f>
        <v>46317</v>
      </c>
      <c r="D7" s="29" t="str">
        <f>VLOOKUP(A7,EST!A:O,15,FALSE)</f>
        <v>03:00 - 14:00</v>
      </c>
      <c r="E7" s="29" t="str">
        <f>VLOOKUP(A7,PH!A:O,15,FALSE)</f>
        <v>15:00 - 02:00</v>
      </c>
      <c r="F7" t="s">
        <v>123</v>
      </c>
      <c r="G7" t="str">
        <f>VLOOKUP(A7,EST!A:N,14,FALSE)</f>
        <v>Anmecha Valencia</v>
      </c>
    </row>
    <row r="8" spans="1:7" x14ac:dyDescent="0.3">
      <c r="A8" t="s">
        <v>80</v>
      </c>
      <c r="B8" s="29">
        <v>46317</v>
      </c>
      <c r="C8" s="29">
        <f>PTO!B8 +
_xlfn.XLOOKUP(
    PTO!A8,
    PH!$A:$A,
    PH!$P:$P,
    0
)</f>
        <v>46317</v>
      </c>
      <c r="D8" s="29" t="str">
        <f>VLOOKUP(A8,EST!A:O,15,FALSE)</f>
        <v>08:00 - 19:00</v>
      </c>
      <c r="E8" s="29" t="str">
        <f>VLOOKUP(A8,PH!A:O,15,FALSE)</f>
        <v>20:00 - 07:00</v>
      </c>
      <c r="F8" t="s">
        <v>123</v>
      </c>
      <c r="G8" t="str">
        <f>VLOOKUP(A8,EST!A:N,14,FALSE)</f>
        <v>Michael Dominguez</v>
      </c>
    </row>
    <row r="9" spans="1:7" x14ac:dyDescent="0.3">
      <c r="A9" t="s">
        <v>78</v>
      </c>
      <c r="B9" s="29">
        <v>46318</v>
      </c>
      <c r="C9" s="29">
        <f>PTO!B9 +
_xlfn.XLOOKUP(
    PTO!A9,
    PH!$A:$A,
    PH!$P:$P,
    0
)</f>
        <v>46318</v>
      </c>
      <c r="D9" s="29" t="str">
        <f>VLOOKUP(A9,EST!A:O,15,FALSE)</f>
        <v>09:00 - 20:00</v>
      </c>
      <c r="E9" s="29" t="str">
        <f>VLOOKUP(A9,PH!A:O,15,FALSE)</f>
        <v>21:00 - 08:00</v>
      </c>
      <c r="F9" t="s">
        <v>123</v>
      </c>
      <c r="G9" t="str">
        <f>VLOOKUP(A9,EST!A:N,14,FALSE)</f>
        <v>Anmecha Valencia</v>
      </c>
    </row>
    <row r="10" spans="1:7" x14ac:dyDescent="0.3">
      <c r="A10" t="s">
        <v>73</v>
      </c>
      <c r="B10" s="29">
        <v>46318</v>
      </c>
      <c r="C10" s="29">
        <f>PTO!B10 +
_xlfn.XLOOKUP(
    PTO!A10,
    PH!$A:$A,
    PH!$P:$P,
    0
)</f>
        <v>46318</v>
      </c>
      <c r="D10" s="29" t="str">
        <f>VLOOKUP(A10,EST!A:O,15,FALSE)</f>
        <v>09:00 - 20:00</v>
      </c>
      <c r="E10" s="29" t="str">
        <f>VLOOKUP(A10,PH!A:O,15,FALSE)</f>
        <v>21:00 - 08:00</v>
      </c>
      <c r="F10" t="s">
        <v>123</v>
      </c>
      <c r="G10" t="str">
        <f>VLOOKUP(A10,EST!A:N,14,FALSE)</f>
        <v>Michael Dominguez</v>
      </c>
    </row>
    <row r="11" spans="1:7" x14ac:dyDescent="0.3">
      <c r="A11" t="s">
        <v>115</v>
      </c>
      <c r="B11" s="29">
        <v>46318</v>
      </c>
      <c r="C11" s="29">
        <f>PTO!B11 +
_xlfn.XLOOKUP(
    PTO!A11,
    PH!$A:$A,
    PH!$P:$P,
    0
)</f>
        <v>46319</v>
      </c>
      <c r="D11" s="29" t="str">
        <f>VLOOKUP(A11,EST!A:O,15,FALSE)</f>
        <v>23:00 - 10:00</v>
      </c>
      <c r="E11" s="29" t="str">
        <f>VLOOKUP(A11,PH!A:O,15,FALSE)</f>
        <v>11:00 - 22:00</v>
      </c>
      <c r="F11" t="s">
        <v>123</v>
      </c>
      <c r="G11" t="str">
        <f>VLOOKUP(A11,EST!A:N,14,FALSE)</f>
        <v>Anmecha Valencia</v>
      </c>
    </row>
    <row r="12" spans="1:7" x14ac:dyDescent="0.3">
      <c r="A12" t="s">
        <v>107</v>
      </c>
      <c r="B12" s="29">
        <v>46320</v>
      </c>
      <c r="C12" s="29">
        <f>PTO!B12 +
_xlfn.XLOOKUP(
    PTO!A12,
    PH!$A:$A,
    PH!$P:$P,
    0
)</f>
        <v>46320</v>
      </c>
      <c r="D12" s="29" t="str">
        <f>VLOOKUP(A12,EST!A:O,15,FALSE)</f>
        <v>05:00 - 16:00</v>
      </c>
      <c r="E12" s="29" t="str">
        <f>VLOOKUP(A12,PH!A:O,15,FALSE)</f>
        <v>17:00 - 04:00</v>
      </c>
      <c r="F12" t="s">
        <v>123</v>
      </c>
      <c r="G12" t="str">
        <f>VLOOKUP(A12,EST!A:N,14,FALSE)</f>
        <v>Remmo Panaligan</v>
      </c>
    </row>
    <row r="13" spans="1:7" x14ac:dyDescent="0.3">
      <c r="A13" t="s">
        <v>117</v>
      </c>
      <c r="B13" s="29">
        <v>46321</v>
      </c>
      <c r="C13" s="29">
        <f>PTO!B13 +
_xlfn.XLOOKUP(
    PTO!A13,
    PH!$A:$A,
    PH!$P:$P,
    0
)</f>
        <v>46321</v>
      </c>
      <c r="D13" s="29" t="str">
        <f>VLOOKUP(A13,EST!A:O,15,FALSE)</f>
        <v>07:00 - 18:00</v>
      </c>
      <c r="E13" s="29" t="str">
        <f>VLOOKUP(A13,PH!A:O,15,FALSE)</f>
        <v>19:00 - 06:00</v>
      </c>
      <c r="F13" t="s">
        <v>123</v>
      </c>
      <c r="G13" t="str">
        <f>VLOOKUP(A13,EST!A:N,14,FALSE)</f>
        <v>Michael Dominguez</v>
      </c>
    </row>
    <row r="14" spans="1:7" x14ac:dyDescent="0.3">
      <c r="A14" t="s">
        <v>92</v>
      </c>
      <c r="B14" s="29">
        <v>46321</v>
      </c>
      <c r="C14" s="29">
        <f>PTO!B14 +
_xlfn.XLOOKUP(
    PTO!A14,
    PH!$A:$A,
    PH!$P:$P,
    0
)</f>
        <v>46321</v>
      </c>
      <c r="D14" s="29" t="str">
        <f>VLOOKUP(A14,EST!A:O,15,FALSE)</f>
        <v>06:00 - 17:00</v>
      </c>
      <c r="E14" s="29" t="str">
        <f>VLOOKUP(A14,PH!A:O,15,FALSE)</f>
        <v>18:00 - 05:00</v>
      </c>
      <c r="F14" t="s">
        <v>123</v>
      </c>
      <c r="G14" t="str">
        <f>VLOOKUP(A14,EST!A:N,14,FALSE)</f>
        <v>Remmo Panaligan</v>
      </c>
    </row>
    <row r="15" spans="1:7" x14ac:dyDescent="0.3">
      <c r="A15" t="s">
        <v>86</v>
      </c>
      <c r="B15" s="29">
        <v>46321</v>
      </c>
      <c r="C15" s="29">
        <f>PTO!B15 +
_xlfn.XLOOKUP(
    PTO!A15,
    PH!$A:$A,
    PH!$P:$P,
    0
)</f>
        <v>46321</v>
      </c>
      <c r="D15" s="29" t="str">
        <f>VLOOKUP(A15,EST!A:O,15,FALSE)</f>
        <v>11:00 - 22:00</v>
      </c>
      <c r="E15" s="29" t="str">
        <f>VLOOKUP(A15,PH!A:O,15,FALSE)</f>
        <v>23:00 - 10:00</v>
      </c>
      <c r="F15" t="s">
        <v>123</v>
      </c>
      <c r="G15" t="str">
        <f>VLOOKUP(A15,EST!A:N,14,FALSE)</f>
        <v>Remmo Panaligan</v>
      </c>
    </row>
    <row r="16" spans="1:7" x14ac:dyDescent="0.3">
      <c r="A16" t="s">
        <v>78</v>
      </c>
      <c r="B16" s="29">
        <v>46321</v>
      </c>
      <c r="C16" s="29">
        <f>PTO!B16 +
_xlfn.XLOOKUP(
    PTO!A16,
    PH!$A:$A,
    PH!$P:$P,
    0
)</f>
        <v>46321</v>
      </c>
      <c r="D16" s="29" t="str">
        <f>VLOOKUP(A16,EST!A:O,15,FALSE)</f>
        <v>09:00 - 20:00</v>
      </c>
      <c r="E16" s="29" t="str">
        <f>VLOOKUP(A16,PH!A:O,15,FALSE)</f>
        <v>21:00 - 08:00</v>
      </c>
      <c r="F16" t="s">
        <v>123</v>
      </c>
      <c r="G16" t="str">
        <f>VLOOKUP(A16,EST!A:N,14,FALSE)</f>
        <v>Anmecha Valencia</v>
      </c>
    </row>
    <row r="17" spans="1:7" x14ac:dyDescent="0.3">
      <c r="A17" t="s">
        <v>117</v>
      </c>
      <c r="B17" s="29">
        <v>46322</v>
      </c>
      <c r="C17" s="29">
        <f>PTO!B17 +
_xlfn.XLOOKUP(
    PTO!A17,
    PH!$A:$A,
    PH!$P:$P,
    0
)</f>
        <v>46322</v>
      </c>
      <c r="D17" s="29" t="str">
        <f>VLOOKUP(A17,EST!A:O,15,FALSE)</f>
        <v>07:00 - 18:00</v>
      </c>
      <c r="E17" s="29" t="str">
        <f>VLOOKUP(A17,PH!A:O,15,FALSE)</f>
        <v>19:00 - 06:00</v>
      </c>
      <c r="F17" t="s">
        <v>123</v>
      </c>
      <c r="G17" t="str">
        <f>VLOOKUP(A17,EST!A:N,14,FALSE)</f>
        <v>Michael Dominguez</v>
      </c>
    </row>
    <row r="18" spans="1:7" x14ac:dyDescent="0.3">
      <c r="A18" t="s">
        <v>92</v>
      </c>
      <c r="B18" s="29">
        <v>46322</v>
      </c>
      <c r="C18" s="29">
        <f>PTO!B18 +
_xlfn.XLOOKUP(
    PTO!A18,
    PH!$A:$A,
    PH!$P:$P,
    0
)</f>
        <v>46322</v>
      </c>
      <c r="D18" s="29" t="str">
        <f>VLOOKUP(A18,EST!A:O,15,FALSE)</f>
        <v>06:00 - 17:00</v>
      </c>
      <c r="E18" s="29" t="str">
        <f>VLOOKUP(A18,PH!A:O,15,FALSE)</f>
        <v>18:00 - 05:00</v>
      </c>
      <c r="F18" t="s">
        <v>123</v>
      </c>
      <c r="G18" t="str">
        <f>VLOOKUP(A18,EST!A:N,14,FALSE)</f>
        <v>Remmo Panaligan</v>
      </c>
    </row>
    <row r="19" spans="1:7" x14ac:dyDescent="0.3">
      <c r="A19" t="s">
        <v>86</v>
      </c>
      <c r="B19" s="29">
        <v>46322</v>
      </c>
      <c r="C19" s="29">
        <f>PTO!B19 +
_xlfn.XLOOKUP(
    PTO!A19,
    PH!$A:$A,
    PH!$P:$P,
    0
)</f>
        <v>46322</v>
      </c>
      <c r="D19" s="29" t="str">
        <f>VLOOKUP(A19,EST!A:O,15,FALSE)</f>
        <v>11:00 - 22:00</v>
      </c>
      <c r="E19" s="29" t="str">
        <f>VLOOKUP(A19,PH!A:O,15,FALSE)</f>
        <v>23:00 - 10:00</v>
      </c>
      <c r="F19" t="s">
        <v>123</v>
      </c>
      <c r="G19" t="str">
        <f>VLOOKUP(A19,EST!A:N,14,FALSE)</f>
        <v>Remmo Panaligan</v>
      </c>
    </row>
    <row r="20" spans="1:7" x14ac:dyDescent="0.3">
      <c r="A20" t="s">
        <v>78</v>
      </c>
      <c r="B20" s="29">
        <v>46322</v>
      </c>
      <c r="C20" s="29">
        <f>PTO!B20 +
_xlfn.XLOOKUP(
    PTO!A20,
    PH!$A:$A,
    PH!$P:$P,
    0
)</f>
        <v>46322</v>
      </c>
      <c r="D20" s="29" t="str">
        <f>VLOOKUP(A20,EST!A:O,15,FALSE)</f>
        <v>09:00 - 20:00</v>
      </c>
      <c r="E20" s="29" t="str">
        <f>VLOOKUP(A20,PH!A:O,15,FALSE)</f>
        <v>21:00 - 08:00</v>
      </c>
      <c r="F20" t="s">
        <v>123</v>
      </c>
      <c r="G20" t="str">
        <f>VLOOKUP(A20,EST!A:N,14,FALSE)</f>
        <v>Anmecha Valencia</v>
      </c>
    </row>
    <row r="21" spans="1:7" x14ac:dyDescent="0.3">
      <c r="A21" t="s">
        <v>83</v>
      </c>
      <c r="B21" s="29">
        <v>46322</v>
      </c>
      <c r="C21" s="29">
        <f>PTO!B21 +
_xlfn.XLOOKUP(
    PTO!A21,
    PH!$A:$A,
    PH!$P:$P,
    0
)</f>
        <v>46322</v>
      </c>
      <c r="D21" s="29" t="str">
        <f>VLOOKUP(A21,EST!A:O,15,FALSE)</f>
        <v>05:00 - 16:00</v>
      </c>
      <c r="E21" s="29" t="str">
        <f>VLOOKUP(A21,PH!A:O,15,FALSE)</f>
        <v>17:00 - 04:00</v>
      </c>
      <c r="F21" t="s">
        <v>123</v>
      </c>
      <c r="G21" t="str">
        <f>VLOOKUP(A21,EST!A:N,14,FALSE)</f>
        <v>Christopher Rodas</v>
      </c>
    </row>
    <row r="22" spans="1:7" x14ac:dyDescent="0.3">
      <c r="A22" t="s">
        <v>83</v>
      </c>
      <c r="B22" s="29">
        <v>46323</v>
      </c>
      <c r="C22" s="29">
        <f>PTO!B22 +
_xlfn.XLOOKUP(
    PTO!A22,
    PH!$A:$A,
    PH!$P:$P,
    0
)</f>
        <v>46323</v>
      </c>
      <c r="D22" s="29" t="str">
        <f>VLOOKUP(A22,EST!A:O,15,FALSE)</f>
        <v>05:00 - 16:00</v>
      </c>
      <c r="E22" s="29" t="str">
        <f>VLOOKUP(A22,PH!A:O,15,FALSE)</f>
        <v>17:00 - 04:00</v>
      </c>
      <c r="F22" t="s">
        <v>123</v>
      </c>
      <c r="G22" t="str">
        <f>VLOOKUP(A22,EST!A:N,14,FALSE)</f>
        <v>Christopher Rodas</v>
      </c>
    </row>
    <row r="23" spans="1:7" x14ac:dyDescent="0.3">
      <c r="A23" t="s">
        <v>66</v>
      </c>
      <c r="B23" s="29">
        <v>46323</v>
      </c>
      <c r="C23" s="29">
        <f>PTO!B23 +
_xlfn.XLOOKUP(
    PTO!A23,
    PH!$A:$A,
    PH!$P:$P,
    0
)</f>
        <v>46323</v>
      </c>
      <c r="D23" s="29" t="str">
        <f>VLOOKUP(A23,EST!A:O,15,FALSE)</f>
        <v>07:30 - 18:30</v>
      </c>
      <c r="E23" s="29" t="str">
        <f>VLOOKUP(A23,PH!A:O,15,FALSE)</f>
        <v>19:30 - 06:30</v>
      </c>
      <c r="F23" t="s">
        <v>123</v>
      </c>
      <c r="G23" t="str">
        <f>VLOOKUP(A23,EST!A:N,14,FALSE)</f>
        <v>Manilyn Abellar</v>
      </c>
    </row>
    <row r="24" spans="1:7" x14ac:dyDescent="0.3">
      <c r="A24" t="s">
        <v>101</v>
      </c>
      <c r="B24" s="29">
        <v>46324</v>
      </c>
      <c r="C24" s="29">
        <f>PTO!B24 +
_xlfn.XLOOKUP(
    PTO!A24,
    PH!$A:$A,
    PH!$P:$P,
    0
)</f>
        <v>46324</v>
      </c>
      <c r="D24" s="29" t="str">
        <f>VLOOKUP(A24,EST!A:O,15,FALSE)</f>
        <v>08:00 - 19:00</v>
      </c>
      <c r="E24" s="29" t="str">
        <f>VLOOKUP(A24,PH!A:O,15,FALSE)</f>
        <v>20:00 - 07:00</v>
      </c>
      <c r="F24" t="s">
        <v>123</v>
      </c>
      <c r="G24" t="str">
        <f>VLOOKUP(A24,EST!A:N,14,FALSE)</f>
        <v>Remmo Panaligan</v>
      </c>
    </row>
    <row r="25" spans="1:7" x14ac:dyDescent="0.3">
      <c r="A25" t="s">
        <v>124</v>
      </c>
      <c r="B25" s="29">
        <v>46324</v>
      </c>
      <c r="C25" s="29">
        <f>PTO!B25 +
_xlfn.XLOOKUP(
    PTO!A25,
    PH!$A:$A,
    PH!$P:$P,
    0
)</f>
        <v>46324</v>
      </c>
      <c r="D25" s="29" t="str">
        <f>VLOOKUP(A25,EST!A:O,15,FALSE)</f>
        <v>07:30 - 18:30</v>
      </c>
      <c r="E25" s="29" t="str">
        <f>VLOOKUP(A25,PH!A:O,15,FALSE)</f>
        <v>19:30 - 06:30</v>
      </c>
      <c r="F25" t="s">
        <v>123</v>
      </c>
      <c r="G25" t="str">
        <f>VLOOKUP(A25,EST!A:N,14,FALSE)</f>
        <v>Christopher Rodas</v>
      </c>
    </row>
    <row r="26" spans="1:7" x14ac:dyDescent="0.3">
      <c r="A26" t="s">
        <v>78</v>
      </c>
      <c r="B26" s="29">
        <v>46324</v>
      </c>
      <c r="C26" s="29">
        <f>PTO!B26 +
_xlfn.XLOOKUP(
    PTO!A26,
    PH!$A:$A,
    PH!$P:$P,
    0
)</f>
        <v>46324</v>
      </c>
      <c r="D26" s="29" t="str">
        <f>VLOOKUP(A26,EST!A:O,15,FALSE)</f>
        <v>09:00 - 20:00</v>
      </c>
      <c r="E26" s="29" t="str">
        <f>VLOOKUP(A26,PH!A:O,15,FALSE)</f>
        <v>21:00 - 08:00</v>
      </c>
      <c r="F26" t="s">
        <v>123</v>
      </c>
      <c r="G26" t="str">
        <f>VLOOKUP(A26,EST!A:N,14,FALSE)</f>
        <v>Anmecha Valencia</v>
      </c>
    </row>
    <row r="27" spans="1:7" x14ac:dyDescent="0.3">
      <c r="A27" t="s">
        <v>94</v>
      </c>
      <c r="B27" s="29">
        <v>46324</v>
      </c>
      <c r="C27" s="29">
        <f>PTO!B27 +
_xlfn.XLOOKUP(
    PTO!A27,
    PH!$A:$A,
    PH!$P:$P,
    0
)</f>
        <v>46325</v>
      </c>
      <c r="D27" s="29" t="str">
        <f>VLOOKUP(A27,EST!A:O,15,FALSE)</f>
        <v>13:00 - 00:00</v>
      </c>
      <c r="E27" s="29" t="str">
        <f>VLOOKUP(A27,PH!A:O,15,FALSE)</f>
        <v>01:00 - 12:00</v>
      </c>
      <c r="F27" t="s">
        <v>123</v>
      </c>
      <c r="G27" t="str">
        <f>VLOOKUP(A27,EST!A:N,14,FALSE)</f>
        <v>Manilyn Abellar</v>
      </c>
    </row>
    <row r="28" spans="1:7" x14ac:dyDescent="0.3">
      <c r="A28" t="s">
        <v>88</v>
      </c>
      <c r="B28" s="29">
        <v>46325</v>
      </c>
      <c r="C28" s="29">
        <f>PTO!B28 +
_xlfn.XLOOKUP(
    PTO!A28,
    PH!$A:$A,
    PH!$P:$P,
    0
)</f>
        <v>46326</v>
      </c>
      <c r="D28" s="29" t="str">
        <f>VLOOKUP(A28,EST!A:O,15,FALSE)</f>
        <v>22:00 - 09:00</v>
      </c>
      <c r="E28" s="29" t="str">
        <f>VLOOKUP(A28,PH!A:O,15,FALSE)</f>
        <v>10:00 - 21:00</v>
      </c>
      <c r="F28" t="s">
        <v>123</v>
      </c>
      <c r="G28" t="str">
        <f>VLOOKUP(A28,EST!A:N,14,FALSE)</f>
        <v>Manilyn Abellar</v>
      </c>
    </row>
    <row r="29" spans="1:7" x14ac:dyDescent="0.3">
      <c r="A29" t="s">
        <v>81</v>
      </c>
      <c r="B29" s="29">
        <v>46326</v>
      </c>
      <c r="C29" s="29">
        <f>PTO!B29 +
_xlfn.XLOOKUP(
    PTO!A29,
    PH!$A:$A,
    PH!$P:$P,
    0
)</f>
        <v>46327</v>
      </c>
      <c r="D29" s="29" t="str">
        <f>VLOOKUP(A29,EST!A:O,15,FALSE)</f>
        <v>18:00 - 05:00</v>
      </c>
      <c r="E29" s="29" t="str">
        <f>VLOOKUP(A29,PH!A:O,15,FALSE)</f>
        <v>06:00 - 17:00</v>
      </c>
      <c r="F29" t="s">
        <v>123</v>
      </c>
      <c r="G29" t="str">
        <f>VLOOKUP(A29,EST!A:N,14,FALSE)</f>
        <v>Christopher Rodas</v>
      </c>
    </row>
  </sheetData>
  <conditionalFormatting sqref="A2">
    <cfRule type="cellIs" dxfId="3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G14"/>
  <sheetViews>
    <sheetView tabSelected="1" workbookViewId="0">
      <selection activeCell="E15" sqref="E15"/>
    </sheetView>
  </sheetViews>
  <sheetFormatPr defaultRowHeight="14.4" x14ac:dyDescent="0.3"/>
  <cols>
    <col min="1" max="1" width="28.6640625" style="27" bestFit="1" customWidth="1"/>
    <col min="2" max="3" width="10.33203125" style="29" bestFit="1" customWidth="1"/>
    <col min="4" max="5" width="11.44140625" style="29" bestFit="1" customWidth="1"/>
    <col min="6" max="6" width="21.77734375" style="27" bestFit="1" customWidth="1"/>
    <col min="7" max="7" width="16.6640625" bestFit="1" customWidth="1"/>
  </cols>
  <sheetData>
    <row r="1" spans="1:7" ht="17.399999999999999" thickBot="1" x14ac:dyDescent="0.35">
      <c r="A1" s="25" t="s">
        <v>0</v>
      </c>
      <c r="B1" s="28" t="s">
        <v>137</v>
      </c>
      <c r="C1" s="28" t="s">
        <v>138</v>
      </c>
      <c r="D1" s="28" t="s">
        <v>139</v>
      </c>
      <c r="E1" s="28" t="s">
        <v>140</v>
      </c>
      <c r="F1" s="25" t="s">
        <v>121</v>
      </c>
      <c r="G1" s="25" t="s">
        <v>13</v>
      </c>
    </row>
    <row r="2" spans="1:7" x14ac:dyDescent="0.3">
      <c r="A2" s="26" t="s">
        <v>76</v>
      </c>
      <c r="B2" s="29">
        <v>46315</v>
      </c>
      <c r="C2" s="29">
        <f>PTO!B2 +
_xlfn.XLOOKUP(
    PTO!A2,
    PH!$A:$A,
    PH!$P:$P,
    0
)</f>
        <v>46315</v>
      </c>
      <c r="D2" s="29" t="str">
        <f>VLOOKUP(A2,EST!A:O,15,FALSE)</f>
        <v>11:00 - 22:00</v>
      </c>
      <c r="E2" s="29" t="str">
        <f>VLOOKUP(A2,PH!A:O,15,FALSE)</f>
        <v>23:00 - 10:00</v>
      </c>
      <c r="F2" s="27" t="s">
        <v>122</v>
      </c>
      <c r="G2" t="str">
        <f>VLOOKUP(A2,EST!A:N,14,FALSE)</f>
        <v>Anmecha Valencia</v>
      </c>
    </row>
    <row r="3" spans="1:7" x14ac:dyDescent="0.3">
      <c r="A3" s="27" t="s">
        <v>84</v>
      </c>
      <c r="B3" s="29">
        <v>46316</v>
      </c>
      <c r="C3" s="29">
        <f>PTO!B3 +
_xlfn.XLOOKUP(
    PTO!A3,
    PH!$A:$A,
    PH!$P:$P,
    0
)</f>
        <v>46315</v>
      </c>
      <c r="D3" s="29" t="str">
        <f>VLOOKUP(A3,EST!A:O,15,FALSE)</f>
        <v>10:00 - 21:00</v>
      </c>
      <c r="E3" s="29" t="str">
        <f>VLOOKUP(A3,PH!A:O,15,FALSE)</f>
        <v>22:00 - 09:00</v>
      </c>
      <c r="F3" s="27" t="s">
        <v>125</v>
      </c>
      <c r="G3" t="str">
        <f>VLOOKUP(A3,EST!A:N,14,FALSE)</f>
        <v>Michael Dominguez</v>
      </c>
    </row>
    <row r="4" spans="1:7" x14ac:dyDescent="0.3">
      <c r="A4" s="11" t="s">
        <v>76</v>
      </c>
      <c r="B4" s="29">
        <v>46316</v>
      </c>
      <c r="C4" s="29">
        <f>PTO!B4 +
_xlfn.XLOOKUP(
    PTO!A4,
    PH!$A:$A,
    PH!$P:$P,
    0
)</f>
        <v>46315</v>
      </c>
      <c r="D4" s="29" t="str">
        <f>VLOOKUP(A4,EST!A:O,15,FALSE)</f>
        <v>11:00 - 22:00</v>
      </c>
      <c r="E4" s="29" t="str">
        <f>VLOOKUP(A4,PH!A:O,15,FALSE)</f>
        <v>23:00 - 10:00</v>
      </c>
      <c r="F4" s="27" t="s">
        <v>126</v>
      </c>
      <c r="G4" t="str">
        <f>VLOOKUP(A4,EST!A:N,14,FALSE)</f>
        <v>Anmecha Valencia</v>
      </c>
    </row>
    <row r="5" spans="1:7" x14ac:dyDescent="0.3">
      <c r="A5" s="27" t="s">
        <v>98</v>
      </c>
      <c r="B5" s="29">
        <v>46316</v>
      </c>
      <c r="C5" s="29">
        <f>PTO!B5 +
_xlfn.XLOOKUP(
    PTO!A5,
    PH!$A:$A,
    PH!$P:$P,
    0
)</f>
        <v>46316</v>
      </c>
      <c r="D5" s="29" t="str">
        <f>VLOOKUP(A5,EST!A:O,15,FALSE)</f>
        <v>22:30 - 09:30</v>
      </c>
      <c r="E5" s="29" t="str">
        <f>VLOOKUP(A5,PH!A:O,15,FALSE)</f>
        <v>10:30 - 21:30</v>
      </c>
      <c r="F5" s="27" t="s">
        <v>127</v>
      </c>
      <c r="G5" t="str">
        <f>VLOOKUP(A5,EST!A:N,14,FALSE)</f>
        <v>Christopher Rodas</v>
      </c>
    </row>
    <row r="6" spans="1:7" x14ac:dyDescent="0.3">
      <c r="A6" s="16" t="s">
        <v>65</v>
      </c>
      <c r="B6" s="29">
        <v>46318</v>
      </c>
      <c r="C6" s="29">
        <f>PTO!B6 +
_xlfn.XLOOKUP(
    PTO!A6,
    PH!$A:$A,
    PH!$P:$P,
    0
)</f>
        <v>46318</v>
      </c>
      <c r="D6" s="29" t="str">
        <f>VLOOKUP(A6,EST!A:O,15,FALSE)</f>
        <v>08:00 - 19:00</v>
      </c>
      <c r="E6" s="29" t="str">
        <f>VLOOKUP(A6,PH!A:O,15,FALSE)</f>
        <v>20:00 - 07:00</v>
      </c>
      <c r="F6" s="27" t="s">
        <v>122</v>
      </c>
      <c r="G6" t="str">
        <f>VLOOKUP(A6,EST!A:N,14,FALSE)</f>
        <v>Manilyn Abellar</v>
      </c>
    </row>
    <row r="7" spans="1:7" x14ac:dyDescent="0.3">
      <c r="A7" s="11" t="s">
        <v>118</v>
      </c>
      <c r="B7" s="29">
        <v>46318</v>
      </c>
      <c r="C7" s="29">
        <f>PTO!B7 +
_xlfn.XLOOKUP(
    PTO!A7,
    PH!$A:$A,
    PH!$P:$P,
    0
)</f>
        <v>46317</v>
      </c>
      <c r="D7" s="29" t="str">
        <f>VLOOKUP(A7,EST!A:O,15,FALSE)</f>
        <v>09:00 - 20:00</v>
      </c>
      <c r="E7" s="29" t="str">
        <f>VLOOKUP(A7,PH!A:O,15,FALSE)</f>
        <v>21:00 - 08:00</v>
      </c>
      <c r="F7" s="27" t="s">
        <v>122</v>
      </c>
      <c r="G7" t="str">
        <f>VLOOKUP(A7,EST!A:N,14,FALSE)</f>
        <v>Anmecha Valencia</v>
      </c>
    </row>
    <row r="8" spans="1:7" x14ac:dyDescent="0.3">
      <c r="A8" s="27" t="s">
        <v>111</v>
      </c>
      <c r="B8" s="29">
        <v>46319</v>
      </c>
      <c r="C8" s="29">
        <f>PTO!B8 +
_xlfn.XLOOKUP(
    PTO!A8,
    PH!$A:$A,
    PH!$P:$P,
    0
)</f>
        <v>46317</v>
      </c>
      <c r="D8" s="29" t="str">
        <f>VLOOKUP(A8,EST!A:O,15,FALSE)</f>
        <v>09:00 - 20:00</v>
      </c>
      <c r="E8" s="29" t="str">
        <f>VLOOKUP(A8,PH!A:O,15,FALSE)</f>
        <v>21:00 - 08:00</v>
      </c>
      <c r="F8" s="27" t="s">
        <v>122</v>
      </c>
      <c r="G8" t="str">
        <f>VLOOKUP(A8,EST!A:N,14,FALSE)</f>
        <v>Christopher Rodas</v>
      </c>
    </row>
    <row r="9" spans="1:7" x14ac:dyDescent="0.3">
      <c r="D9" s="29" t="str">
        <f>_xlfn.IFNA(VLOOKUP(A9,EST!A:O,15,FALSE),"")</f>
        <v/>
      </c>
      <c r="E9" s="29" t="str">
        <f>_xlfn.IFNA(VLOOKUP(A9,PH!A:O,15,FALSE),"")</f>
        <v/>
      </c>
      <c r="G9" t="str">
        <f>_xlfn.IFNA(VLOOKUP(A9,EST!A:N,14,FALSE),"")</f>
        <v/>
      </c>
    </row>
    <row r="10" spans="1:7" x14ac:dyDescent="0.3">
      <c r="D10" s="29" t="str">
        <f>_xlfn.IFNA(VLOOKUP(A10,EST!A:O,15,FALSE),"")</f>
        <v/>
      </c>
      <c r="E10" s="29" t="str">
        <f>_xlfn.IFNA(VLOOKUP(A10,PH!A:O,15,FALSE),"")</f>
        <v/>
      </c>
      <c r="G10" t="str">
        <f>_xlfn.IFNA(VLOOKUP(A10,EST!A:N,14,FALSE),"")</f>
        <v/>
      </c>
    </row>
    <row r="11" spans="1:7" x14ac:dyDescent="0.3">
      <c r="D11" s="29" t="str">
        <f>_xlfn.IFNA(VLOOKUP(A11,EST!A:O,15,FALSE),"")</f>
        <v/>
      </c>
      <c r="G11" t="str">
        <f>_xlfn.IFNA(VLOOKUP(A11,EST!A:N,14,FALSE),"")</f>
        <v/>
      </c>
    </row>
    <row r="12" spans="1:7" x14ac:dyDescent="0.3">
      <c r="D12" s="29" t="str">
        <f>_xlfn.IFNA(VLOOKUP(A12,EST!A:O,15,FALSE),"")</f>
        <v/>
      </c>
      <c r="G12" t="str">
        <f>_xlfn.IFNA(VLOOKUP(A12,EST!A:N,14,FALSE),"")</f>
        <v/>
      </c>
    </row>
    <row r="13" spans="1:7" x14ac:dyDescent="0.3">
      <c r="D13" s="29" t="str">
        <f>_xlfn.IFNA(VLOOKUP(A13,EST!A:O,15,FALSE),"")</f>
        <v/>
      </c>
      <c r="G13" t="str">
        <f>_xlfn.IFNA(VLOOKUP(A13,EST!A:N,14,FALSE),"")</f>
        <v/>
      </c>
    </row>
    <row r="14" spans="1:7" x14ac:dyDescent="0.3">
      <c r="D14" s="29" t="str">
        <f>_xlfn.IFNA(VLOOKUP(A14,EST!A:O,15,FALSE),"")</f>
        <v/>
      </c>
      <c r="G14" t="str">
        <f>_xlfn.IFNA(VLOOKUP(A14,EST!A:N,14,FALSE),"")</f>
        <v/>
      </c>
    </row>
  </sheetData>
  <conditionalFormatting sqref="A2">
    <cfRule type="cellIs" dxfId="2" priority="4" operator="equal">
      <formula>"OFF"</formula>
    </cfRule>
  </conditionalFormatting>
  <conditionalFormatting sqref="A4">
    <cfRule type="cellIs" dxfId="1" priority="3" operator="equal">
      <formula>"OFF"</formula>
    </cfRule>
  </conditionalFormatting>
  <conditionalFormatting sqref="A6:A7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2026-10-24T18:34:39Z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