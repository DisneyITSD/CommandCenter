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04" documentId="8_{3D986408-3F70-4028-ABB2-0B6A1225D05C}" xr6:coauthVersionLast="47" xr6:coauthVersionMax="47" xr10:uidLastSave="{CB46DE85-A03B-4674-B2EC-A64E7274366D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8" i="3" l="1"/>
  <c r="C9" i="3"/>
  <c r="C10" i="3"/>
  <c r="C11" i="3"/>
  <c r="C12" i="3"/>
  <c r="C7" i="3"/>
  <c r="D8" i="3"/>
  <c r="D9" i="3"/>
  <c r="G9" i="3"/>
  <c r="G10" i="3"/>
  <c r="G11" i="3"/>
  <c r="G12" i="3"/>
  <c r="G8" i="3"/>
  <c r="E9" i="3"/>
  <c r="E10" i="3"/>
  <c r="E11" i="3"/>
  <c r="E8" i="3"/>
  <c r="D10" i="3"/>
  <c r="D11" i="3"/>
  <c r="D12" i="3"/>
  <c r="C3" i="3"/>
  <c r="C4" i="3"/>
  <c r="C5" i="3"/>
  <c r="C6" i="3"/>
  <c r="C2" i="3"/>
  <c r="G13" i="3"/>
  <c r="G14" i="3"/>
  <c r="D13" i="3"/>
  <c r="D14" i="3"/>
  <c r="G7" i="3"/>
  <c r="D7" i="3"/>
  <c r="E7" i="3"/>
  <c r="G6" i="3"/>
  <c r="D6" i="3"/>
  <c r="E6" i="3"/>
  <c r="D3" i="3"/>
  <c r="D4" i="3"/>
  <c r="D5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G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G4" i="3"/>
  <c r="G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2" i="2"/>
  <c r="G2" i="3"/>
  <c r="C29" i="2" l="1"/>
  <c r="C5" i="2"/>
  <c r="C26" i="2"/>
  <c r="C3" i="2"/>
  <c r="C18" i="2"/>
  <c r="E3" i="3"/>
  <c r="E4" i="3"/>
  <c r="E5" i="3"/>
  <c r="E11" i="2"/>
  <c r="E25" i="2"/>
  <c r="C9" i="2"/>
  <c r="E12" i="2"/>
  <c r="E26" i="2"/>
  <c r="C10" i="2"/>
  <c r="E13" i="2"/>
  <c r="E27" i="2"/>
  <c r="C13" i="2"/>
  <c r="E14" i="2"/>
  <c r="E28" i="2"/>
  <c r="C15" i="2"/>
  <c r="E15" i="2"/>
  <c r="E29" i="2"/>
  <c r="C17" i="2"/>
  <c r="E16" i="2"/>
  <c r="E2" i="2"/>
  <c r="C19" i="2"/>
  <c r="E3" i="2"/>
  <c r="E17" i="2"/>
  <c r="C21" i="2"/>
  <c r="E4" i="2"/>
  <c r="E18" i="2"/>
  <c r="C22" i="2"/>
  <c r="E5" i="2"/>
  <c r="E19" i="2"/>
  <c r="C23" i="2"/>
  <c r="E20" i="2"/>
  <c r="C24" i="2"/>
  <c r="E7" i="2"/>
  <c r="E21" i="2"/>
  <c r="C27" i="2"/>
  <c r="E8" i="2"/>
  <c r="E22" i="2"/>
  <c r="C6" i="2"/>
  <c r="C28" i="2"/>
  <c r="E9" i="2"/>
  <c r="E23" i="2"/>
  <c r="C7" i="2"/>
  <c r="C2" i="2"/>
  <c r="E10" i="2"/>
  <c r="E24" i="2"/>
  <c r="C8" i="2"/>
  <c r="E2" i="3"/>
  <c r="E6" i="2"/>
  <c r="C14" i="2"/>
  <c r="C16" i="2"/>
  <c r="C12" i="2"/>
  <c r="C4" i="2"/>
  <c r="C25" i="2"/>
  <c r="C20" i="2"/>
  <c r="C11" i="2"/>
  <c r="E42" i="4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<sst xmlns="http://schemas.openxmlformats.org/spreadsheetml/2006/main" count="835" uniqueCount="141">
  <si>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</si>
  <si>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</si>
  <si>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</si>
  <si>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</si>
  <si>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</si>
  <si>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</si>
  <si>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</si>
  <si>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</si>
  <si>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</si>
  <si>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</si>
  <si>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</si>
  <si>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</si>
  <si>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</si>
  <si>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</si>
  <si>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</si>
  <si>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</si>
  <si>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</si>
  <si>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</si>
  <si>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</si>
  <si>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</si>
  <si>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</si>
  <si>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</si>
  <si>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</si>
  <si>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</si>
  <si>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</si>
  <si>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</si>
  <si>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</si>
  <si>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</si>
  <si>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</si>
  <si>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</si>
  <si>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</si>
  <si>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</si>
  <si>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</si>
  <si>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</si>
  <si>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</si>
  <si>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</si>
  <si>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</si>
  <si>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</si>
  <si>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</si>
  <si>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</si>
  <si>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</si>
  <si>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</si>
  <si>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</si>
  <si>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</si>
  <si>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</si>
  <si>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</si>
  <si>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</si>
  <si>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</si>
  <si>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</si>
  <si>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</si>
  <si>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</si>
  <si>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</si>
  <si>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</si>
  <si>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</si>
  <si>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</si>
  <si>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</si>
  <si>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</si>
  <si>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</si>
  <si>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</si>
  <si>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</si>
  <si>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</si>
  <si>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</si>
  <si>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</si>
  <si>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</si>
  <si>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</si>
  <si>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</si>
  <si>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</si>
  <si>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</si>
  <si>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</si>
  <si>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</si>
  <si>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</si>
  <si>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</si>
  <si>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</si>
  <si>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</si>
  <si>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</si>
  <si>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</si>
  <si>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</si>
  <si>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</si>
  <si>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</si>
  <si>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</si>
  <si>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</si>
  <si>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</si>
  <si>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</si>
  <si>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</si>
  <si>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</si>
  <si>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</si>
  <si>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</si>
  <si>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</si>
  <si>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</si>
  <si>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</si>
  <si>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</si>
  <si>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</si>
  <si>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</si>
  <si>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</si>
  <si>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</si>
  <si>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</si>
  <si>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</si>
  <si>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</si>
  <si>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</si>
  <si>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</si>
  <si>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</si>
  <si>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</si>
  <si>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</si>
  <si>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</si>
  <si>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</si>
  <si>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</si>
  <si>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</si>
  <si>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</si>
  <si>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</si>
  <si>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</si>
  <si>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</si>
  <si>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</si>
  <si>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</si>
  <si>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</si>
  <si>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</si>
  <si>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</si>
  <si>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</si>
  <si>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</si>
  <si>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</si>
  <si>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</si>
  <si>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</si>
  <si>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</si>
  <si>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</si>
  <si>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</si>
  <si>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</si>
  <si>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</si>
  <si>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</si>
  <si>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</si>
  <si>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</si>
  <si>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</si>
  <si>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</si>
  <si>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</si>
  <si>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</si>
  <si>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</si>
  <si>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</si>
  <si>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</si>
  <si>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</si>
  <si>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</si>
  <si>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PH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</si>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</sst>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opLeftCell="A31" zoomScaleNormal="100" workbookViewId="0">
      <selection activeCell="A51" sqref="A5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139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140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G29"/>
  <sheetViews>
    <sheetView workbookViewId="0">
      <selection activeCell="C2" sqref="C2"/>
    </sheetView>
  </sheetViews>
  <sheetFormatPr defaultRowHeight="14.4" x14ac:dyDescent="0.3"/>
  <cols>
    <col min="1" max="1" width="26.6640625" customWidth="1"/>
    <col min="2" max="3" width="10.33203125" style="29" bestFit="1" customWidth="1"/>
    <col min="4" max="5" width="11.44140625" style="29" bestFit="1" customWidth="1"/>
    <col min="6" max="6" width="7.88671875" bestFit="1" customWidth="1"/>
    <col min="7" max="7" width="16.6640625" bestFit="1" customWidth="1"/>
  </cols>
  <sheetData>
    <row r="1" spans="1:7" ht="17.399999999999999" thickBot="1" x14ac:dyDescent="0.35">
      <c r="A1" s="24" t="s">
        <v>0</v>
      </c>
      <c r="B1" s="28" t="s">
        <v>137</v>
      </c>
      <c r="C1" s="28" t="s">
        <v>138</v>
      </c>
      <c r="D1" s="28" t="s">
        <v>139</v>
      </c>
      <c r="E1" s="28" t="s">
        <v>140</v>
      </c>
      <c r="F1" s="24" t="s">
        <v>121</v>
      </c>
      <c r="G1" s="24" t="s">
        <v>13</v>
      </c>
    </row>
    <row r="2" spans="1:7" x14ac:dyDescent="0.3">
      <c r="A2" s="16" t="s">
        <v>87</v>
      </c>
      <c r="B2" s="29">
        <v>46315</v>
      </c>
      <c r="C2" s="29">
        <f>PTO!B2 +
_xlfn.XLOOKUP(
    PTO!A2,
    PH!$A:$A,
    PH!$P:$P,
    0
)</f>
        <v>46315</v>
      </c>
      <c r="D2" s="29" t="str">
        <f>VLOOKUP(A2,EST!A:O,15,FALSE)</f>
        <v>02:00 - 13:00</v>
      </c>
      <c r="E2" s="29" t="str">
        <f>VLOOKUP(A2,PH!A:O,15,FALSE)</f>
        <v>14:00 - 01:00</v>
      </c>
      <c r="F2" t="s">
        <v>123</v>
      </c>
      <c r="G2" t="str">
        <f>VLOOKUP(A2,EST!A:N,14,FALSE)</f>
        <v>Christopher Rodas</v>
      </c>
    </row>
    <row r="3" spans="1:7" x14ac:dyDescent="0.3">
      <c r="A3" t="s">
        <v>69</v>
      </c>
      <c r="B3" s="29">
        <v>46315</v>
      </c>
      <c r="C3" s="29">
        <f>PTO!B3 +
_xlfn.XLOOKUP(
    PTO!A3,
    PH!$A:$A,
    PH!$P:$P,
    0
)</f>
        <v>46315</v>
      </c>
      <c r="D3" s="29" t="str">
        <f>VLOOKUP(A3,EST!A:O,15,FALSE)</f>
        <v>09:00 - 20:00</v>
      </c>
      <c r="E3" s="29" t="str">
        <f>VLOOKUP(A3,PH!A:O,15,FALSE)</f>
        <v>21:00 - 08:00</v>
      </c>
      <c r="F3" t="s">
        <v>123</v>
      </c>
      <c r="G3" t="str">
        <f>VLOOKUP(A3,EST!A:N,14,FALSE)</f>
        <v>Michael Dominguez</v>
      </c>
    </row>
    <row r="4" spans="1:7" x14ac:dyDescent="0.3">
      <c r="A4" t="s">
        <v>63</v>
      </c>
      <c r="B4" s="29">
        <v>46315</v>
      </c>
      <c r="C4" s="29">
        <f>PTO!B4 +
_xlfn.XLOOKUP(
    PTO!A4,
    PH!$A:$A,
    PH!$P:$P,
    0
)</f>
        <v>46315</v>
      </c>
      <c r="D4" s="29" t="str">
        <f>VLOOKUP(A4,EST!A:O,15,FALSE)</f>
        <v>01:00 - 12:00</v>
      </c>
      <c r="E4" s="29" t="str">
        <f>VLOOKUP(A4,PH!A:O,15,FALSE)</f>
        <v>13:00 - 00:00</v>
      </c>
      <c r="F4" t="s">
        <v>123</v>
      </c>
      <c r="G4" t="str">
        <f>VLOOKUP(A4,EST!A:N,14,FALSE)</f>
        <v>Remmo Panaligan</v>
      </c>
    </row>
    <row r="5" spans="1:7" x14ac:dyDescent="0.3">
      <c r="A5" t="s">
        <v>80</v>
      </c>
      <c r="B5" s="29">
        <v>46316</v>
      </c>
      <c r="C5" s="29">
        <f>PTO!B5 +
_xlfn.XLOOKUP(
    PTO!A5,
    PH!$A:$A,
    PH!$P:$P,
    0
)</f>
        <v>46316</v>
      </c>
      <c r="D5" s="29" t="str">
        <f>VLOOKUP(A5,EST!A:O,15,FALSE)</f>
        <v>08:00 - 19:00</v>
      </c>
      <c r="E5" s="29" t="str">
        <f>VLOOKUP(A5,PH!A:O,15,FALSE)</f>
        <v>20:00 - 07:00</v>
      </c>
      <c r="F5" t="s">
        <v>123</v>
      </c>
      <c r="G5" t="str">
        <f>VLOOKUP(A5,EST!A:N,14,FALSE)</f>
        <v>Michael Dominguez</v>
      </c>
    </row>
    <row r="6" spans="1:7" x14ac:dyDescent="0.3">
      <c r="A6" t="s">
        <v>94</v>
      </c>
      <c r="B6" s="29">
        <v>46317</v>
      </c>
      <c r="C6" s="29">
        <f>PTO!B6 +
_xlfn.XLOOKUP(
    PTO!A6,
    PH!$A:$A,
    PH!$P:$P,
    0
)</f>
        <v>46318</v>
      </c>
      <c r="D6" s="29" t="str">
        <f>VLOOKUP(A6,EST!A:O,15,FALSE)</f>
        <v>13:00 - 00:00</v>
      </c>
      <c r="E6" s="29" t="str">
        <f>VLOOKUP(A6,PH!A:O,15,FALSE)</f>
        <v>01:00 - 12:00</v>
      </c>
      <c r="F6" t="s">
        <v>123</v>
      </c>
      <c r="G6" t="str">
        <f>VLOOKUP(A6,EST!A:N,14,FALSE)</f>
        <v>Manilyn Abellar</v>
      </c>
    </row>
    <row r="7" spans="1:7" x14ac:dyDescent="0.3">
      <c r="A7" t="s">
        <v>72</v>
      </c>
      <c r="B7" s="29">
        <v>46317</v>
      </c>
      <c r="C7" s="29">
        <f>PTO!B7 +
_xlfn.XLOOKUP(
    PTO!A7,
    PH!$A:$A,
    PH!$P:$P,
    0
)</f>
        <v>46317</v>
      </c>
      <c r="D7" s="29" t="str">
        <f>VLOOKUP(A7,EST!A:O,15,FALSE)</f>
        <v>03:00 - 14:00</v>
      </c>
      <c r="E7" s="29" t="str">
        <f>VLOOKUP(A7,PH!A:O,15,FALSE)</f>
        <v>15:00 - 02:00</v>
      </c>
      <c r="F7" t="s">
        <v>123</v>
      </c>
      <c r="G7" t="str">
        <f>VLOOKUP(A7,EST!A:N,14,FALSE)</f>
        <v>Anmecha Valencia</v>
      </c>
    </row>
    <row r="8" spans="1:7" x14ac:dyDescent="0.3">
      <c r="A8" t="s">
        <v>80</v>
      </c>
      <c r="B8" s="29">
        <v>46317</v>
      </c>
      <c r="C8" s="29">
        <f>PTO!B8 +
_xlfn.XLOOKUP(
    PTO!A8,
    PH!$A:$A,
    PH!$P:$P,
    0
)</f>
        <v>46317</v>
      </c>
      <c r="D8" s="29" t="str">
        <f>VLOOKUP(A8,EST!A:O,15,FALSE)</f>
        <v>08:00 - 19:00</v>
      </c>
      <c r="E8" s="29" t="str">
        <f>VLOOKUP(A8,PH!A:O,15,FALSE)</f>
        <v>20:00 - 07:00</v>
      </c>
      <c r="F8" t="s">
        <v>123</v>
      </c>
      <c r="G8" t="str">
        <f>VLOOKUP(A8,EST!A:N,14,FALSE)</f>
        <v>Michael Dominguez</v>
      </c>
    </row>
    <row r="9" spans="1:7" x14ac:dyDescent="0.3">
      <c r="A9" t="s">
        <v>78</v>
      </c>
      <c r="B9" s="29">
        <v>46318</v>
      </c>
      <c r="C9" s="29">
        <f>PTO!B9 +
_xlfn.XLOOKUP(
    PTO!A9,
    PH!$A:$A,
    PH!$P:$P,
    0
)</f>
        <v>46318</v>
      </c>
      <c r="D9" s="29" t="str">
        <f>VLOOKUP(A9,EST!A:O,15,FALSE)</f>
        <v>09:00 - 20:00</v>
      </c>
      <c r="E9" s="29" t="str">
        <f>VLOOKUP(A9,PH!A:O,15,FALSE)</f>
        <v>21:00 - 08:00</v>
      </c>
      <c r="F9" t="s">
        <v>123</v>
      </c>
      <c r="G9" t="str">
        <f>VLOOKUP(A9,EST!A:N,14,FALSE)</f>
        <v>Anmecha Valencia</v>
      </c>
    </row>
    <row r="10" spans="1:7" x14ac:dyDescent="0.3">
      <c r="A10" t="s">
        <v>73</v>
      </c>
      <c r="B10" s="29">
        <v>46318</v>
      </c>
      <c r="C10" s="29">
        <f>PTO!B10 +
_xlfn.XLOOKUP(
    PTO!A10,
    PH!$A:$A,
    PH!$P:$P,
    0
)</f>
        <v>46318</v>
      </c>
      <c r="D10" s="29" t="str">
        <f>VLOOKUP(A10,EST!A:O,15,FALSE)</f>
        <v>09:00 - 20:00</v>
      </c>
      <c r="E10" s="29" t="str">
        <f>VLOOKUP(A10,PH!A:O,15,FALSE)</f>
        <v>21:00 - 08:00</v>
      </c>
      <c r="F10" t="s">
        <v>123</v>
      </c>
      <c r="G10" t="str">
        <f>VLOOKUP(A10,EST!A:N,14,FALSE)</f>
        <v>Michael Dominguez</v>
      </c>
    </row>
    <row r="11" spans="1:7" x14ac:dyDescent="0.3">
      <c r="A11" t="s">
        <v>115</v>
      </c>
      <c r="B11" s="29">
        <v>46318</v>
      </c>
      <c r="C11" s="29">
        <f>PTO!B11 +
_xlfn.XLOOKUP(
    PTO!A11,
    PH!$A:$A,
    PH!$P:$P,
    0
)</f>
        <v>46319</v>
      </c>
      <c r="D11" s="29" t="str">
        <f>VLOOKUP(A11,EST!A:O,15,FALSE)</f>
        <v>23:00 - 10:00</v>
      </c>
      <c r="E11" s="29" t="str">
        <f>VLOOKUP(A11,PH!A:O,15,FALSE)</f>
        <v>11:00 - 22:00</v>
      </c>
      <c r="F11" t="s">
        <v>123</v>
      </c>
      <c r="G11" t="str">
        <f>VLOOKUP(A11,EST!A:N,14,FALSE)</f>
        <v>Anmecha Valencia</v>
      </c>
    </row>
    <row r="12" spans="1:7" x14ac:dyDescent="0.3">
      <c r="A12" t="s">
        <v>107</v>
      </c>
      <c r="B12" s="29">
        <v>46320</v>
      </c>
      <c r="C12" s="29">
        <f>PTO!B12 +
_xlfn.XLOOKUP(
    PTO!A12,
    PH!$A:$A,
    PH!$P:$P,
    0
)</f>
        <v>46320</v>
      </c>
      <c r="D12" s="29" t="str">
        <f>VLOOKUP(A12,EST!A:O,15,FALSE)</f>
        <v>05:00 - 16:00</v>
      </c>
      <c r="E12" s="29" t="str">
        <f>VLOOKUP(A12,PH!A:O,15,FALSE)</f>
        <v>17:00 - 04:00</v>
      </c>
      <c r="F12" t="s">
        <v>123</v>
      </c>
      <c r="G12" t="str">
        <f>VLOOKUP(A12,EST!A:N,14,FALSE)</f>
        <v>Remmo Panaligan</v>
      </c>
    </row>
    <row r="13" spans="1:7" x14ac:dyDescent="0.3">
      <c r="A13" t="s">
        <v>117</v>
      </c>
      <c r="B13" s="29">
        <v>46321</v>
      </c>
      <c r="C13" s="29">
        <f>PTO!B13 +
_xlfn.XLOOKUP(
    PTO!A13,
    PH!$A:$A,
    PH!$P:$P,
    0
)</f>
        <v>46321</v>
      </c>
      <c r="D13" s="29" t="str">
        <f>VLOOKUP(A13,EST!A:O,15,FALSE)</f>
        <v>07:00 - 18:00</v>
      </c>
      <c r="E13" s="29" t="str">
        <f>VLOOKUP(A13,PH!A:O,15,FALSE)</f>
        <v>19:00 - 06:00</v>
      </c>
      <c r="F13" t="s">
        <v>123</v>
      </c>
      <c r="G13" t="str">
        <f>VLOOKUP(A13,EST!A:N,14,FALSE)</f>
        <v>Michael Dominguez</v>
      </c>
    </row>
    <row r="14" spans="1:7" x14ac:dyDescent="0.3">
      <c r="A14" t="s">
        <v>92</v>
      </c>
      <c r="B14" s="29">
        <v>46321</v>
      </c>
      <c r="C14" s="29">
        <f>PTO!B14 +
_xlfn.XLOOKUP(
    PTO!A14,
    PH!$A:$A,
    PH!$P:$P,
    0
)</f>
        <v>46321</v>
      </c>
      <c r="D14" s="29" t="str">
        <f>VLOOKUP(A14,EST!A:O,15,FALSE)</f>
        <v>06:00 - 17:00</v>
      </c>
      <c r="E14" s="29" t="str">
        <f>VLOOKUP(A14,PH!A:O,15,FALSE)</f>
        <v>18:00 - 05:00</v>
      </c>
      <c r="F14" t="s">
        <v>123</v>
      </c>
      <c r="G14" t="str">
        <f>VLOOKUP(A14,EST!A:N,14,FALSE)</f>
        <v>Remmo Panaligan</v>
      </c>
    </row>
    <row r="15" spans="1:7" x14ac:dyDescent="0.3">
      <c r="A15" t="s">
        <v>86</v>
      </c>
      <c r="B15" s="29">
        <v>46321</v>
      </c>
      <c r="C15" s="29">
        <f>PTO!B15 +
_xlfn.XLOOKUP(
    PTO!A15,
    PH!$A:$A,
    PH!$P:$P,
    0
)</f>
        <v>46321</v>
      </c>
      <c r="D15" s="29" t="str">
        <f>VLOOKUP(A15,EST!A:O,15,FALSE)</f>
        <v>11:00 - 22:00</v>
      </c>
      <c r="E15" s="29" t="str">
        <f>VLOOKUP(A15,PH!A:O,15,FALSE)</f>
        <v>23:00 - 10:00</v>
      </c>
      <c r="F15" t="s">
        <v>123</v>
      </c>
      <c r="G15" t="str">
        <f>VLOOKUP(A15,EST!A:N,14,FALSE)</f>
        <v>Remmo Panaligan</v>
      </c>
    </row>
    <row r="16" spans="1:7" x14ac:dyDescent="0.3">
      <c r="A16" t="s">
        <v>78</v>
      </c>
      <c r="B16" s="29">
        <v>46321</v>
      </c>
      <c r="C16" s="29">
        <f>PTO!B16 +
_xlfn.XLOOKUP(
    PTO!A16,
    PH!$A:$A,
    PH!$P:$P,
    0
)</f>
        <v>46321</v>
      </c>
      <c r="D16" s="29" t="str">
        <f>VLOOKUP(A16,EST!A:O,15,FALSE)</f>
        <v>09:00 - 20:00</v>
      </c>
      <c r="E16" s="29" t="str">
        <f>VLOOKUP(A16,PH!A:O,15,FALSE)</f>
        <v>21:00 - 08:00</v>
      </c>
      <c r="F16" t="s">
        <v>123</v>
      </c>
      <c r="G16" t="str">
        <f>VLOOKUP(A16,EST!A:N,14,FALSE)</f>
        <v>Anmecha Valencia</v>
      </c>
    </row>
    <row r="17" spans="1:7" x14ac:dyDescent="0.3">
      <c r="A17" t="s">
        <v>117</v>
      </c>
      <c r="B17" s="29">
        <v>46322</v>
      </c>
      <c r="C17" s="29">
        <f>PTO!B17 +
_xlfn.XLOOKUP(
    PTO!A17,
    PH!$A:$A,
    PH!$P:$P,
    0
)</f>
        <v>46322</v>
      </c>
      <c r="D17" s="29" t="str">
        <f>VLOOKUP(A17,EST!A:O,15,FALSE)</f>
        <v>07:00 - 18:00</v>
      </c>
      <c r="E17" s="29" t="str">
        <f>VLOOKUP(A17,PH!A:O,15,FALSE)</f>
        <v>19:00 - 06:00</v>
      </c>
      <c r="F17" t="s">
        <v>123</v>
      </c>
      <c r="G17" t="str">
        <f>VLOOKUP(A17,EST!A:N,14,FALSE)</f>
        <v>Michael Dominguez</v>
      </c>
    </row>
    <row r="18" spans="1:7" x14ac:dyDescent="0.3">
      <c r="A18" t="s">
        <v>92</v>
      </c>
      <c r="B18" s="29">
        <v>46322</v>
      </c>
      <c r="C18" s="29">
        <f>PTO!B18 +
_xlfn.XLOOKUP(
    PTO!A18,
    PH!$A:$A,
    PH!$P:$P,
    0
)</f>
        <v>46322</v>
      </c>
      <c r="D18" s="29" t="str">
        <f>VLOOKUP(A18,EST!A:O,15,FALSE)</f>
        <v>06:00 - 17:00</v>
      </c>
      <c r="E18" s="29" t="str">
        <f>VLOOKUP(A18,PH!A:O,15,FALSE)</f>
        <v>18:00 - 05:00</v>
      </c>
      <c r="F18" t="s">
        <v>123</v>
      </c>
      <c r="G18" t="str">
        <f>VLOOKUP(A18,EST!A:N,14,FALSE)</f>
        <v>Remmo Panaligan</v>
      </c>
    </row>
    <row r="19" spans="1:7" x14ac:dyDescent="0.3">
      <c r="A19" t="s">
        <v>86</v>
      </c>
      <c r="B19" s="29">
        <v>46322</v>
      </c>
      <c r="C19" s="29">
        <f>PTO!B19 +
_xlfn.XLOOKUP(
    PTO!A19,
    PH!$A:$A,
    PH!$P:$P,
    0
)</f>
        <v>46322</v>
      </c>
      <c r="D19" s="29" t="str">
        <f>VLOOKUP(A19,EST!A:O,15,FALSE)</f>
        <v>11:00 - 22:00</v>
      </c>
      <c r="E19" s="29" t="str">
        <f>VLOOKUP(A19,PH!A:O,15,FALSE)</f>
        <v>23:00 - 10:00</v>
      </c>
      <c r="F19" t="s">
        <v>123</v>
      </c>
      <c r="G19" t="str">
        <f>VLOOKUP(A19,EST!A:N,14,FALSE)</f>
        <v>Remmo Panaligan</v>
      </c>
    </row>
    <row r="20" spans="1:7" x14ac:dyDescent="0.3">
      <c r="A20" t="s">
        <v>78</v>
      </c>
      <c r="B20" s="29">
        <v>46322</v>
      </c>
      <c r="C20" s="29">
        <f>PTO!B20 +
_xlfn.XLOOKUP(
    PTO!A20,
    PH!$A:$A,
    PH!$P:$P,
    0
)</f>
        <v>46322</v>
      </c>
      <c r="D20" s="29" t="str">
        <f>VLOOKUP(A20,EST!A:O,15,FALSE)</f>
        <v>09:00 - 20:00</v>
      </c>
      <c r="E20" s="29" t="str">
        <f>VLOOKUP(A20,PH!A:O,15,FALSE)</f>
        <v>21:00 - 08:00</v>
      </c>
      <c r="F20" t="s">
        <v>123</v>
      </c>
      <c r="G20" t="str">
        <f>VLOOKUP(A20,EST!A:N,14,FALSE)</f>
        <v>Anmecha Valencia</v>
      </c>
    </row>
    <row r="21" spans="1:7" x14ac:dyDescent="0.3">
      <c r="A21" t="s">
        <v>83</v>
      </c>
      <c r="B21" s="29">
        <v>46322</v>
      </c>
      <c r="C21" s="29">
        <f>PTO!B21 +
_xlfn.XLOOKUP(
    PTO!A21,
    PH!$A:$A,
    PH!$P:$P,
    0
)</f>
        <v>46322</v>
      </c>
      <c r="D21" s="29" t="str">
        <f>VLOOKUP(A21,EST!A:O,15,FALSE)</f>
        <v>05:00 - 16:00</v>
      </c>
      <c r="E21" s="29" t="str">
        <f>VLOOKUP(A21,PH!A:O,15,FALSE)</f>
        <v>17:00 - 04:00</v>
      </c>
      <c r="F21" t="s">
        <v>123</v>
      </c>
      <c r="G21" t="str">
        <f>VLOOKUP(A21,EST!A:N,14,FALSE)</f>
        <v>Christopher Rodas</v>
      </c>
    </row>
    <row r="22" spans="1:7" x14ac:dyDescent="0.3">
      <c r="A22" t="s">
        <v>83</v>
      </c>
      <c r="B22" s="29">
        <v>46323</v>
      </c>
      <c r="C22" s="29">
        <f>PTO!B22 +
_xlfn.XLOOKUP(
    PTO!A22,
    PH!$A:$A,
    PH!$P:$P,
    0
)</f>
        <v>46323</v>
      </c>
      <c r="D22" s="29" t="str">
        <f>VLOOKUP(A22,EST!A:O,15,FALSE)</f>
        <v>05:00 - 16:00</v>
      </c>
      <c r="E22" s="29" t="str">
        <f>VLOOKUP(A22,PH!A:O,15,FALSE)</f>
        <v>17:00 - 04:00</v>
      </c>
      <c r="F22" t="s">
        <v>123</v>
      </c>
      <c r="G22" t="str">
        <f>VLOOKUP(A22,EST!A:N,14,FALSE)</f>
        <v>Christopher Rodas</v>
      </c>
    </row>
    <row r="23" spans="1:7" x14ac:dyDescent="0.3">
      <c r="A23" t="s">
        <v>66</v>
      </c>
      <c r="B23" s="29">
        <v>46323</v>
      </c>
      <c r="C23" s="29">
        <f>PTO!B23 +
_xlfn.XLOOKUP(
    PTO!A23,
    PH!$A:$A,
    PH!$P:$P,
    0
)</f>
        <v>46323</v>
      </c>
      <c r="D23" s="29" t="str">
        <f>VLOOKUP(A23,EST!A:O,15,FALSE)</f>
        <v>07:30 - 18:30</v>
      </c>
      <c r="E23" s="29" t="str">
        <f>VLOOKUP(A23,PH!A:O,15,FALSE)</f>
        <v>19:30 - 06:30</v>
      </c>
      <c r="F23" t="s">
        <v>123</v>
      </c>
      <c r="G23" t="str">
        <f>VLOOKUP(A23,EST!A:N,14,FALSE)</f>
        <v>Manilyn Abellar</v>
      </c>
    </row>
    <row r="24" spans="1:7" x14ac:dyDescent="0.3">
      <c r="A24" t="s">
        <v>101</v>
      </c>
      <c r="B24" s="29">
        <v>46324</v>
      </c>
      <c r="C24" s="29">
        <f>PTO!B24 +
_xlfn.XLOOKUP(
    PTO!A24,
    PH!$A:$A,
    PH!$P:$P,
    0
)</f>
        <v>46324</v>
      </c>
      <c r="D24" s="29" t="str">
        <f>VLOOKUP(A24,EST!A:O,15,FALSE)</f>
        <v>08:00 - 19:00</v>
      </c>
      <c r="E24" s="29" t="str">
        <f>VLOOKUP(A24,PH!A:O,15,FALSE)</f>
        <v>20:00 - 07:00</v>
      </c>
      <c r="F24" t="s">
        <v>123</v>
      </c>
      <c r="G24" t="str">
        <f>VLOOKUP(A24,EST!A:N,14,FALSE)</f>
        <v>Remmo Panaligan</v>
      </c>
    </row>
    <row r="25" spans="1:7" x14ac:dyDescent="0.3">
      <c r="A25" t="s">
        <v>124</v>
      </c>
      <c r="B25" s="29">
        <v>46324</v>
      </c>
      <c r="C25" s="29">
        <f>PTO!B25 +
_xlfn.XLOOKUP(
    PTO!A25,
    PH!$A:$A,
    PH!$P:$P,
    0
)</f>
        <v>46324</v>
      </c>
      <c r="D25" s="29" t="str">
        <f>VLOOKUP(A25,EST!A:O,15,FALSE)</f>
        <v>07:30 - 18:30</v>
      </c>
      <c r="E25" s="29" t="str">
        <f>VLOOKUP(A25,PH!A:O,15,FALSE)</f>
        <v>19:30 - 06:30</v>
      </c>
      <c r="F25" t="s">
        <v>123</v>
      </c>
      <c r="G25" t="str">
        <f>VLOOKUP(A25,EST!A:N,14,FALSE)</f>
        <v>Christopher Rodas</v>
      </c>
    </row>
    <row r="26" spans="1:7" x14ac:dyDescent="0.3">
      <c r="A26" t="s">
        <v>78</v>
      </c>
      <c r="B26" s="29">
        <v>46324</v>
      </c>
      <c r="C26" s="29">
        <f>PTO!B26 +
_xlfn.XLOOKUP(
    PTO!A26,
    PH!$A:$A,
    PH!$P:$P,
    0
)</f>
        <v>46324</v>
      </c>
      <c r="D26" s="29" t="str">
        <f>VLOOKUP(A26,EST!A:O,15,FALSE)</f>
        <v>09:00 - 20:00</v>
      </c>
      <c r="E26" s="29" t="str">
        <f>VLOOKUP(A26,PH!A:O,15,FALSE)</f>
        <v>21:00 - 08:00</v>
      </c>
      <c r="F26" t="s">
        <v>123</v>
      </c>
      <c r="G26" t="str">
        <f>VLOOKUP(A26,EST!A:N,14,FALSE)</f>
        <v>Anmecha Valencia</v>
      </c>
    </row>
    <row r="27" spans="1:7" x14ac:dyDescent="0.3">
      <c r="A27" t="s">
        <v>94</v>
      </c>
      <c r="B27" s="29">
        <v>46324</v>
      </c>
      <c r="C27" s="29">
        <f>PTO!B27 +
_xlfn.XLOOKUP(
    PTO!A27,
    PH!$A:$A,
    PH!$P:$P,
    0
)</f>
        <v>46325</v>
      </c>
      <c r="D27" s="29" t="str">
        <f>VLOOKUP(A27,EST!A:O,15,FALSE)</f>
        <v>13:00 - 00:00</v>
      </c>
      <c r="E27" s="29" t="str">
        <f>VLOOKUP(A27,PH!A:O,15,FALSE)</f>
        <v>01:00 - 12:00</v>
      </c>
      <c r="F27" t="s">
        <v>123</v>
      </c>
      <c r="G27" t="str">
        <f>VLOOKUP(A27,EST!A:N,14,FALSE)</f>
        <v>Manilyn Abellar</v>
      </c>
    </row>
    <row r="28" spans="1:7" x14ac:dyDescent="0.3">
      <c r="A28" t="s">
        <v>88</v>
      </c>
      <c r="B28" s="29">
        <v>46325</v>
      </c>
      <c r="C28" s="29">
        <f>PTO!B28 +
_xlfn.XLOOKUP(
    PTO!A28,
    PH!$A:$A,
    PH!$P:$P,
    0
)</f>
        <v>46326</v>
      </c>
      <c r="D28" s="29" t="str">
        <f>VLOOKUP(A28,EST!A:O,15,FALSE)</f>
        <v>22:00 - 09:00</v>
      </c>
      <c r="E28" s="29" t="str">
        <f>VLOOKUP(A28,PH!A:O,15,FALSE)</f>
        <v>10:00 - 21:00</v>
      </c>
      <c r="F28" t="s">
        <v>123</v>
      </c>
      <c r="G28" t="str">
        <f>VLOOKUP(A28,EST!A:N,14,FALSE)</f>
        <v>Manilyn Abellar</v>
      </c>
    </row>
    <row r="29" spans="1:7" x14ac:dyDescent="0.3">
      <c r="A29" t="s">
        <v>81</v>
      </c>
      <c r="B29" s="29">
        <v>46326</v>
      </c>
      <c r="C29" s="29">
        <f>PTO!B29 +
_xlfn.XLOOKUP(
    PTO!A29,
    PH!$A:$A,
    PH!$P:$P,
    0
)</f>
        <v>46327</v>
      </c>
      <c r="D29" s="29" t="str">
        <f>VLOOKUP(A29,EST!A:O,15,FALSE)</f>
        <v>18:00 - 05:00</v>
      </c>
      <c r="E29" s="29" t="str">
        <f>VLOOKUP(A29,PH!A:O,15,FALSE)</f>
        <v>06:00 - 17:00</v>
      </c>
      <c r="F29" t="s">
        <v>123</v>
      </c>
      <c r="G29" t="str">
        <f>VLOOKUP(A29,EST!A:N,14,FALSE)</f>
        <v>Christopher Rodas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G14"/>
  <sheetViews>
    <sheetView tabSelected="1" workbookViewId="0">
      <selection activeCell="D11" sqref="D11"/>
    </sheetView>
  </sheetViews>
  <sheetFormatPr defaultRowHeight="14.4" x14ac:dyDescent="0.3"/>
  <cols>
    <col min="1" max="1" width="28.6640625" style="27" bestFit="1" customWidth="1"/>
    <col min="2" max="3" width="10.33203125" style="29" bestFit="1" customWidth="1"/>
    <col min="4" max="5" width="11.44140625" style="29" bestFit="1" customWidth="1"/>
    <col min="6" max="6" width="21.77734375" style="27" bestFit="1" customWidth="1"/>
    <col min="7" max="7" width="16.6640625" bestFit="1" customWidth="1"/>
  </cols>
  <sheetData>
    <row r="1" spans="1:7" ht="17.399999999999999" thickBot="1" x14ac:dyDescent="0.35">
      <c r="A1" s="25" t="s">
        <v>0</v>
      </c>
      <c r="B1" s="28" t="s">
        <v>137</v>
      </c>
      <c r="C1" s="28" t="s">
        <v>138</v>
      </c>
      <c r="D1" s="28" t="s">
        <v>139</v>
      </c>
      <c r="E1" s="28" t="s">
        <v>140</v>
      </c>
      <c r="F1" s="25" t="s">
        <v>121</v>
      </c>
      <c r="G1" s="25" t="s">
        <v>13</v>
      </c>
    </row>
    <row r="2" spans="1:7" x14ac:dyDescent="0.3">
      <c r="A2" s="26" t="s">
        <v>76</v>
      </c>
      <c r="B2" s="29">
        <v>46315</v>
      </c>
      <c r="C2" s="29">
        <f>B2 +
_xlfn.XLOOKUP(
    PTO!A2,
    PH!$A:$A,
    PH!$P:$P,
    0
)</f>
        <v>46315</v>
      </c>
      <c r="D2" s="29" t="str">
        <f>VLOOKUP(A2,EST!A:O,15,FALSE)</f>
        <v>11:00 - 22:00</v>
      </c>
      <c r="E2" s="29" t="str">
        <f>VLOOKUP(A2,PH!A:O,15,FALSE)</f>
        <v>23:00 - 10:00</v>
      </c>
      <c r="F2" s="27" t="s">
        <v>122</v>
      </c>
      <c r="G2" t="str">
        <f>VLOOKUP(A2,EST!A:N,14,FALSE)</f>
        <v>Anmecha Valencia</v>
      </c>
    </row>
    <row r="3" spans="1:7" x14ac:dyDescent="0.3">
      <c r="A3" s="27" t="s">
        <v>84</v>
      </c>
      <c r="B3" s="29">
        <v>46316</v>
      </c>
      <c r="C3" s="29">
        <f>B3 +
_xlfn.XLOOKUP(
    PTO!A3,
    PH!$A:$A,
    PH!$P:$P,
    0
)</f>
        <v>46316</v>
      </c>
      <c r="D3" s="29" t="str">
        <f>VLOOKUP(A3,EST!A:O,15,FALSE)</f>
        <v>10:00 - 21:00</v>
      </c>
      <c r="E3" s="29" t="str">
        <f>VLOOKUP(A3,PH!A:O,15,FALSE)</f>
        <v>22:00 - 09:00</v>
      </c>
      <c r="F3" s="27" t="s">
        <v>125</v>
      </c>
      <c r="G3" t="str">
        <f>VLOOKUP(A3,EST!A:N,14,FALSE)</f>
        <v>Michael Dominguez</v>
      </c>
    </row>
    <row r="4" spans="1:7" x14ac:dyDescent="0.3">
      <c r="A4" s="11" t="s">
        <v>76</v>
      </c>
      <c r="B4" s="29">
        <v>46316</v>
      </c>
      <c r="C4" s="29">
        <f>B4 +
_xlfn.XLOOKUP(
    PTO!A4,
    PH!$A:$A,
    PH!$P:$P,
    0
)</f>
        <v>46316</v>
      </c>
      <c r="D4" s="29" t="str">
        <f>VLOOKUP(A4,EST!A:O,15,FALSE)</f>
        <v>11:00 - 22:00</v>
      </c>
      <c r="E4" s="29" t="str">
        <f>VLOOKUP(A4,PH!A:O,15,FALSE)</f>
        <v>23:00 - 10:00</v>
      </c>
      <c r="F4" s="27" t="s">
        <v>126</v>
      </c>
      <c r="G4" t="str">
        <f>VLOOKUP(A4,EST!A:N,14,FALSE)</f>
        <v>Anmecha Valencia</v>
      </c>
    </row>
    <row r="5" spans="1:7" x14ac:dyDescent="0.3">
      <c r="A5" s="27" t="s">
        <v>98</v>
      </c>
      <c r="B5" s="29">
        <v>46316</v>
      </c>
      <c r="C5" s="29">
        <f>B5 +
_xlfn.XLOOKUP(
    PTO!A5,
    PH!$A:$A,
    PH!$P:$P,
    0
)</f>
        <v>46316</v>
      </c>
      <c r="D5" s="29" t="str">
        <f>VLOOKUP(A5,EST!A:O,15,FALSE)</f>
        <v>22:30 - 09:30</v>
      </c>
      <c r="E5" s="29" t="str">
        <f>VLOOKUP(A5,PH!A:O,15,FALSE)</f>
        <v>10:30 - 21:30</v>
      </c>
      <c r="F5" s="27" t="s">
        <v>127</v>
      </c>
      <c r="G5" t="str">
        <f>VLOOKUP(A5,EST!A:N,14,FALSE)</f>
        <v>Christopher Rodas</v>
      </c>
    </row>
    <row r="6" spans="1:7" x14ac:dyDescent="0.3">
      <c r="A6" s="16" t="s">
        <v>65</v>
      </c>
      <c r="B6" s="29">
        <v>46318</v>
      </c>
      <c r="C6" s="29">
        <f>B6 +
_xlfn.XLOOKUP(
    PTO!A6,
    PH!$A:$A,
    PH!$P:$P,
    0
)</f>
        <v>46319</v>
      </c>
      <c r="D6" s="29" t="str">
        <f>VLOOKUP(A6,EST!A:O,15,FALSE)</f>
        <v>08:00 - 19:00</v>
      </c>
      <c r="E6" s="29" t="str">
        <f>VLOOKUP(A6,PH!A:O,15,FALSE)</f>
        <v>20:00 - 07:00</v>
      </c>
      <c r="F6" s="27" t="s">
        <v>122</v>
      </c>
      <c r="G6" t="str">
        <f>VLOOKUP(A6,EST!A:N,14,FALSE)</f>
        <v>Manilyn Abellar</v>
      </c>
    </row>
    <row r="7" spans="1:7" x14ac:dyDescent="0.3">
      <c r="A7" s="11" t="s">
        <v>118</v>
      </c>
      <c r="B7" s="29">
        <v>46318</v>
      </c>
      <c r="C7" s="29">
        <f>_xlfn.LET(_xlpm.val, B7+_xlfn.XLOOKUP(PTO!A7, PH!$A:$A, PH!$P:$P, 0), IF(_xlpm.val=0, "", _xlpm.val))</f>
        <v>46318</v>
      </c>
      <c r="D7" s="29" t="str">
        <f>VLOOKUP(A7,EST!A:O,15,FALSE)</f>
        <v>09:00 - 20:00</v>
      </c>
      <c r="E7" s="29" t="str">
        <f>VLOOKUP(A7,PH!A:O,15,FALSE)</f>
        <v>21:00 - 08:00</v>
      </c>
      <c r="F7" s="27" t="s">
        <v>122</v>
      </c>
      <c r="G7" t="str">
        <f>VLOOKUP(A7,EST!A:N,14,FALSE)</f>
        <v>Anmecha Valencia</v>
      </c>
    </row>
    <row r="8" spans="1:7" x14ac:dyDescent="0.3">
      <c r="A8" s="27" t="s">
        <v>111</v>
      </c>
      <c r="B8" s="29">
        <v>46319</v>
      </c>
      <c r="C8" s="29">
        <f>_xlfn.LET(_xlpm.val, B8+_xlfn.XLOOKUP(PTO!A8, PH!$A:$A, PH!$P:$P, 0), IF(_xlpm.val&lt;=1, "", _xlpm.val))</f>
        <v>46319</v>
      </c>
      <c r="D8" s="29" t="str">
        <f>_xlfn.IFNA(VLOOKUP(A8,EST!A:O,15,FALSE),"")</f>
        <v>09:00 - 20:00</v>
      </c>
      <c r="E8" s="29" t="str">
        <f>_xlfn.IFNA(VLOOKUP(A8,PH!A:O,15,FALSE),"")</f>
        <v>21:00 - 08:00</v>
      </c>
      <c r="F8" s="27" t="s">
        <v>122</v>
      </c>
      <c r="G8" t="str">
        <f>_xlfn.IFNA(VLOOKUP(A8,EST!A:N,14,FALSE),"")</f>
        <v>Christopher Rodas</v>
      </c>
    </row>
    <row r="9" spans="1:7" x14ac:dyDescent="0.3">
      <c r="C9" s="29" t="str">
        <f>_xlfn.LET(_xlpm.val, B9+_xlfn.XLOOKUP(PTO!A9, PH!$A:$A, PH!$P:$P, 0), IF(_xlpm.val&lt;=1, "", _xlpm.val))</f>
        <v/>
      </c>
      <c r="D9" s="29" t="str">
        <f>_xlfn.IFNA(VLOOKUP(A9,EST!A:O,15,FALSE),"")</f>
        <v/>
      </c>
      <c r="E9" s="29" t="str">
        <f>_xlfn.IFNA(VLOOKUP(A9,PH!A:O,15,FALSE),"")</f>
        <v/>
      </c>
      <c r="G9" t="str">
        <f>_xlfn.IFNA(VLOOKUP(A9,EST!A:N,14,FALSE),"")</f>
        <v/>
      </c>
    </row>
    <row r="10" spans="1:7" x14ac:dyDescent="0.3">
      <c r="C10" s="29" t="str">
        <f>_xlfn.LET(_xlpm.val, B10+_xlfn.XLOOKUP(PTO!A10, PH!$A:$A, PH!$P:$P, 0), IF(_xlpm.val&lt;=1, "", _xlpm.val))</f>
        <v/>
      </c>
      <c r="D10" s="29" t="str">
        <f>_xlfn.IFNA(VLOOKUP(A10,EST!A:O,15,FALSE),"")</f>
        <v/>
      </c>
      <c r="E10" s="29" t="str">
        <f>_xlfn.IFNA(VLOOKUP(A10,PH!A:O,15,FALSE),"")</f>
        <v/>
      </c>
      <c r="G10" t="str">
        <f>_xlfn.IFNA(VLOOKUP(A10,EST!A:N,14,FALSE),"")</f>
        <v/>
      </c>
    </row>
    <row r="11" spans="1:7" x14ac:dyDescent="0.3">
      <c r="C11" s="29" t="str">
        <f>_xlfn.LET(_xlpm.val, B11+_xlfn.XLOOKUP(PTO!A11, PH!$A:$A, PH!$P:$P, 0), IF(_xlpm.val&lt;=1, "", _xlpm.val))</f>
        <v/>
      </c>
      <c r="D11" s="29" t="str">
        <f>_xlfn.IFNA(VLOOKUP(A11,EST!A:O,15,FALSE),"")</f>
        <v/>
      </c>
      <c r="E11" s="29" t="str">
        <f>_xlfn.IFNA(VLOOKUP(A11,PH!A:O,15,FALSE),"")</f>
        <v/>
      </c>
      <c r="G11" t="str">
        <f>_xlfn.IFNA(VLOOKUP(A11,EST!A:N,14,FALSE),"")</f>
        <v/>
      </c>
    </row>
    <row r="12" spans="1:7" x14ac:dyDescent="0.3">
      <c r="C12" s="29" t="str">
        <f>_xlfn.LET(_xlpm.val, B12+_xlfn.XLOOKUP(PTO!A12, PH!$A:$A, PH!$P:$P, 0), IF(_xlpm.val=0, "", _xlpm.val))</f>
        <v/>
      </c>
      <c r="D12" s="29" t="str">
        <f>_xlfn.IFNA(VLOOKUP(A12,EST!A:O,15,FALSE),"")</f>
        <v/>
      </c>
      <c r="G12" t="str">
        <f>_xlfn.IFNA(VLOOKUP(A12,EST!A:N,14,FALSE),"")</f>
        <v/>
      </c>
    </row>
    <row r="13" spans="1:7" x14ac:dyDescent="0.3">
      <c r="D13" s="29" t="str">
        <f>_xlfn.IFNA(VLOOKUP(A13,EST!A:O,15,FALSE),"")</f>
        <v/>
      </c>
      <c r="G13" t="str">
        <f>_xlfn.IFNA(VLOOKUP(A13,EST!A:N,14,FALSE),"")</f>
        <v/>
      </c>
    </row>
    <row r="14" spans="1:7" x14ac:dyDescent="0.3">
      <c r="D14" s="29" t="str">
        <f>_xlfn.IFNA(VLOOKUP(A14,EST!A:O,15,FALSE),"")</f>
        <v/>
      </c>
      <c r="G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2026-10-24T19:05:52Z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