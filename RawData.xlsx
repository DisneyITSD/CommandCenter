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988" documentId="11_94451ABCA0A2D337C40D543FD3FF15B293680652" xr6:coauthVersionLast="47" xr6:coauthVersionMax="47" xr10:uidLastSave="{CF3DD2DB-1968-4CC3-81C2-57C70072A3BE}"/>
  <bookViews>
    <workbookView xWindow="-120" yWindow="-120" windowWidth="23280" windowHeight="13920" xr2:uid="{75395B83-6453-4C33-8933-D8D7F8DF6F8F}"/>
  </bookViews>
  <sheets>
    <sheet name="EST" sheetId="12" r:id="rId1"/>
    <sheet name="PH" sheetId="13" r:id="rId2"/>
    <sheet name="EST24" sheetId="1" r:id="rId3"/>
    <sheet name="PH24" sheetId="4" r:id="rId4"/>
    <sheet name="EST_OLD" sheetId="6" r:id="rId5"/>
    <sheet name="PH_OLD" sheetId="7" r:id="rId6"/>
    <sheet name="PTO" sheetId="2" r:id="rId7"/>
    <sheet name="Called OFF" sheetId="3" r:id="rId8"/>
    <sheet name="NOTES" sheetId="8" r:id="rId9"/>
  </sheets>
  <definedNames>
    <definedName name="_xlnm._FilterDatabase" localSheetId="2" hidden="1">'EST24'!$A$1:$O$66</definedName>
    <definedName name="_xlnm._FilterDatabase" localSheetId="5" hidden="1">PH_OLD!$A$1:$P$68</definedName>
    <definedName name="_xlnm._FilterDatabase" localSheetId="3" hidden="1">'PH24'!$A$1:$O$61</definedName>
    <definedName name="_xlnm._FilterDatabase" localSheetId="6" hidden="1">PTO!$A$1:$D$66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P3" i="13" l="1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AG2" i="1"/>
  <c r="O2" i="13"/>
  <c r="P2" i="13" s="1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L2" i="13"/>
  <c r="L3" i="13"/>
  <c r="L4" i="13"/>
  <c r="L5" i="13"/>
  <c r="L6" i="13"/>
  <c r="L7" i="13"/>
  <c r="L8" i="13"/>
  <c r="L9" i="13"/>
  <c r="L10" i="13"/>
  <c r="L1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L34" i="13"/>
  <c r="L35" i="13"/>
  <c r="L36" i="13"/>
  <c r="L37" i="13"/>
  <c r="L38" i="13"/>
  <c r="L39" i="13"/>
  <c r="L40" i="13"/>
  <c r="L41" i="13"/>
  <c r="L42" i="13"/>
  <c r="L43" i="13"/>
  <c r="L44" i="13"/>
  <c r="L45" i="13"/>
  <c r="L46" i="13"/>
  <c r="L47" i="13"/>
  <c r="L48" i="13"/>
  <c r="L49" i="13"/>
  <c r="L50" i="13"/>
  <c r="L51" i="13"/>
  <c r="L52" i="13"/>
  <c r="L53" i="13"/>
  <c r="L54" i="13"/>
  <c r="L55" i="13"/>
  <c r="L56" i="13"/>
  <c r="L57" i="13"/>
  <c r="L58" i="13"/>
  <c r="L59" i="13"/>
  <c r="L60" i="13"/>
  <c r="L61" i="13"/>
  <c r="L62" i="13"/>
  <c r="L63" i="13"/>
  <c r="L64" i="13"/>
  <c r="L65" i="13"/>
  <c r="L66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3" i="13"/>
  <c r="N64" i="13"/>
  <c r="N65" i="13"/>
  <c r="N66" i="13"/>
  <c r="H2" i="13"/>
  <c r="I2" i="13" s="1"/>
  <c r="N2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2" i="13"/>
  <c r="J2" i="13"/>
  <c r="AA2" i="1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2" i="12"/>
  <c r="I2" i="4"/>
  <c r="B3" i="13"/>
  <c r="C3" i="13"/>
  <c r="D3" i="13"/>
  <c r="E3" i="13"/>
  <c r="F3" i="13"/>
  <c r="G3" i="13"/>
  <c r="H3" i="13"/>
  <c r="B4" i="13"/>
  <c r="C4" i="13"/>
  <c r="D4" i="13"/>
  <c r="E4" i="13"/>
  <c r="F4" i="13"/>
  <c r="G4" i="13"/>
  <c r="H4" i="13"/>
  <c r="B5" i="13"/>
  <c r="C5" i="13"/>
  <c r="D5" i="13"/>
  <c r="E5" i="13"/>
  <c r="F5" i="13"/>
  <c r="G5" i="13"/>
  <c r="H5" i="13"/>
  <c r="B6" i="13"/>
  <c r="C6" i="13"/>
  <c r="D6" i="13"/>
  <c r="E6" i="13"/>
  <c r="F6" i="13"/>
  <c r="G6" i="13"/>
  <c r="H6" i="13"/>
  <c r="B7" i="13"/>
  <c r="C7" i="13"/>
  <c r="D7" i="13"/>
  <c r="E7" i="13"/>
  <c r="F7" i="13"/>
  <c r="G7" i="13"/>
  <c r="H7" i="13"/>
  <c r="B8" i="13"/>
  <c r="C8" i="13"/>
  <c r="D8" i="13"/>
  <c r="E8" i="13"/>
  <c r="F8" i="13"/>
  <c r="G8" i="13"/>
  <c r="H8" i="13"/>
  <c r="B9" i="13"/>
  <c r="C9" i="13"/>
  <c r="D9" i="13"/>
  <c r="E9" i="13"/>
  <c r="F9" i="13"/>
  <c r="G9" i="13"/>
  <c r="H9" i="13"/>
  <c r="B10" i="13"/>
  <c r="C10" i="13"/>
  <c r="D10" i="13"/>
  <c r="E10" i="13"/>
  <c r="F10" i="13"/>
  <c r="G10" i="13"/>
  <c r="H10" i="13"/>
  <c r="B11" i="13"/>
  <c r="C11" i="13"/>
  <c r="D11" i="13"/>
  <c r="E11" i="13"/>
  <c r="F11" i="13"/>
  <c r="G11" i="13"/>
  <c r="H11" i="13"/>
  <c r="B12" i="13"/>
  <c r="C12" i="13"/>
  <c r="D12" i="13"/>
  <c r="E12" i="13"/>
  <c r="F12" i="13"/>
  <c r="G12" i="13"/>
  <c r="H12" i="13"/>
  <c r="B13" i="13"/>
  <c r="C13" i="13"/>
  <c r="D13" i="13"/>
  <c r="E13" i="13"/>
  <c r="F13" i="13"/>
  <c r="G13" i="13"/>
  <c r="H13" i="13"/>
  <c r="B14" i="13"/>
  <c r="C14" i="13"/>
  <c r="D14" i="13"/>
  <c r="E14" i="13"/>
  <c r="F14" i="13"/>
  <c r="G14" i="13"/>
  <c r="H14" i="13"/>
  <c r="B15" i="13"/>
  <c r="C15" i="13"/>
  <c r="D15" i="13"/>
  <c r="E15" i="13"/>
  <c r="F15" i="13"/>
  <c r="G15" i="13"/>
  <c r="H15" i="13"/>
  <c r="B16" i="13"/>
  <c r="C16" i="13"/>
  <c r="D16" i="13"/>
  <c r="E16" i="13"/>
  <c r="F16" i="13"/>
  <c r="G16" i="13"/>
  <c r="H16" i="13"/>
  <c r="B17" i="13"/>
  <c r="C17" i="13"/>
  <c r="D17" i="13"/>
  <c r="E17" i="13"/>
  <c r="F17" i="13"/>
  <c r="G17" i="13"/>
  <c r="H17" i="13"/>
  <c r="B18" i="13"/>
  <c r="C18" i="13"/>
  <c r="D18" i="13"/>
  <c r="E18" i="13"/>
  <c r="F18" i="13"/>
  <c r="G18" i="13"/>
  <c r="H18" i="13"/>
  <c r="B19" i="13"/>
  <c r="C19" i="13"/>
  <c r="D19" i="13"/>
  <c r="E19" i="13"/>
  <c r="F19" i="13"/>
  <c r="G19" i="13"/>
  <c r="H19" i="13"/>
  <c r="B20" i="13"/>
  <c r="C20" i="13"/>
  <c r="D20" i="13"/>
  <c r="E20" i="13"/>
  <c r="F20" i="13"/>
  <c r="G20" i="13"/>
  <c r="H20" i="13"/>
  <c r="B21" i="13"/>
  <c r="C21" i="13"/>
  <c r="D21" i="13"/>
  <c r="E21" i="13"/>
  <c r="F21" i="13"/>
  <c r="G21" i="13"/>
  <c r="H21" i="13"/>
  <c r="B22" i="13"/>
  <c r="C22" i="13"/>
  <c r="D22" i="13"/>
  <c r="E22" i="13"/>
  <c r="F22" i="13"/>
  <c r="G22" i="13"/>
  <c r="H22" i="13"/>
  <c r="B23" i="13"/>
  <c r="C23" i="13"/>
  <c r="D23" i="13"/>
  <c r="E23" i="13"/>
  <c r="F23" i="13"/>
  <c r="G23" i="13"/>
  <c r="H23" i="13"/>
  <c r="B24" i="13"/>
  <c r="C24" i="13"/>
  <c r="D24" i="13"/>
  <c r="E24" i="13"/>
  <c r="F24" i="13"/>
  <c r="G24" i="13"/>
  <c r="H24" i="13"/>
  <c r="B25" i="13"/>
  <c r="C25" i="13"/>
  <c r="D25" i="13"/>
  <c r="E25" i="13"/>
  <c r="F25" i="13"/>
  <c r="G25" i="13"/>
  <c r="H25" i="13"/>
  <c r="B26" i="13"/>
  <c r="C26" i="13"/>
  <c r="D26" i="13"/>
  <c r="E26" i="13"/>
  <c r="F26" i="13"/>
  <c r="G26" i="13"/>
  <c r="H26" i="13"/>
  <c r="B27" i="13"/>
  <c r="C27" i="13"/>
  <c r="D27" i="13"/>
  <c r="E27" i="13"/>
  <c r="F27" i="13"/>
  <c r="G27" i="13"/>
  <c r="H27" i="13"/>
  <c r="B28" i="13"/>
  <c r="C28" i="13"/>
  <c r="D28" i="13"/>
  <c r="E28" i="13"/>
  <c r="F28" i="13"/>
  <c r="G28" i="13"/>
  <c r="H28" i="13"/>
  <c r="B29" i="13"/>
  <c r="C29" i="13"/>
  <c r="D29" i="13"/>
  <c r="E29" i="13"/>
  <c r="F29" i="13"/>
  <c r="G29" i="13"/>
  <c r="H29" i="13"/>
  <c r="B30" i="13"/>
  <c r="C30" i="13"/>
  <c r="D30" i="13"/>
  <c r="E30" i="13"/>
  <c r="F30" i="13"/>
  <c r="G30" i="13"/>
  <c r="H30" i="13"/>
  <c r="B31" i="13"/>
  <c r="C31" i="13"/>
  <c r="D31" i="13"/>
  <c r="E31" i="13"/>
  <c r="F31" i="13"/>
  <c r="G31" i="13"/>
  <c r="H31" i="13"/>
  <c r="B32" i="13"/>
  <c r="C32" i="13"/>
  <c r="D32" i="13"/>
  <c r="E32" i="13"/>
  <c r="F32" i="13"/>
  <c r="G32" i="13"/>
  <c r="H32" i="13"/>
  <c r="B33" i="13"/>
  <c r="C33" i="13"/>
  <c r="D33" i="13"/>
  <c r="E33" i="13"/>
  <c r="F33" i="13"/>
  <c r="G33" i="13"/>
  <c r="H33" i="13"/>
  <c r="B34" i="13"/>
  <c r="C34" i="13"/>
  <c r="D34" i="13"/>
  <c r="E34" i="13"/>
  <c r="F34" i="13"/>
  <c r="G34" i="13"/>
  <c r="H34" i="13"/>
  <c r="B35" i="13"/>
  <c r="C35" i="13"/>
  <c r="D35" i="13"/>
  <c r="E35" i="13"/>
  <c r="F35" i="13"/>
  <c r="G35" i="13"/>
  <c r="H35" i="13"/>
  <c r="B36" i="13"/>
  <c r="C36" i="13"/>
  <c r="D36" i="13"/>
  <c r="E36" i="13"/>
  <c r="F36" i="13"/>
  <c r="G36" i="13"/>
  <c r="H36" i="13"/>
  <c r="B37" i="13"/>
  <c r="C37" i="13"/>
  <c r="D37" i="13"/>
  <c r="E37" i="13"/>
  <c r="F37" i="13"/>
  <c r="G37" i="13"/>
  <c r="H37" i="13"/>
  <c r="B38" i="13"/>
  <c r="C38" i="13"/>
  <c r="D38" i="13"/>
  <c r="E38" i="13"/>
  <c r="F38" i="13"/>
  <c r="G38" i="13"/>
  <c r="H38" i="13"/>
  <c r="B39" i="13"/>
  <c r="C39" i="13"/>
  <c r="D39" i="13"/>
  <c r="E39" i="13"/>
  <c r="F39" i="13"/>
  <c r="G39" i="13"/>
  <c r="H39" i="13"/>
  <c r="B40" i="13"/>
  <c r="C40" i="13"/>
  <c r="D40" i="13"/>
  <c r="E40" i="13"/>
  <c r="F40" i="13"/>
  <c r="G40" i="13"/>
  <c r="H40" i="13"/>
  <c r="B41" i="13"/>
  <c r="C41" i="13"/>
  <c r="D41" i="13"/>
  <c r="E41" i="13"/>
  <c r="F41" i="13"/>
  <c r="G41" i="13"/>
  <c r="H41" i="13"/>
  <c r="B42" i="13"/>
  <c r="C42" i="13"/>
  <c r="D42" i="13"/>
  <c r="E42" i="13"/>
  <c r="F42" i="13"/>
  <c r="G42" i="13"/>
  <c r="H42" i="13"/>
  <c r="B43" i="13"/>
  <c r="C43" i="13"/>
  <c r="D43" i="13"/>
  <c r="E43" i="13"/>
  <c r="F43" i="13"/>
  <c r="G43" i="13"/>
  <c r="H43" i="13"/>
  <c r="B44" i="13"/>
  <c r="C44" i="13"/>
  <c r="D44" i="13"/>
  <c r="E44" i="13"/>
  <c r="F44" i="13"/>
  <c r="G44" i="13"/>
  <c r="H44" i="13"/>
  <c r="B45" i="13"/>
  <c r="C45" i="13"/>
  <c r="D45" i="13"/>
  <c r="E45" i="13"/>
  <c r="F45" i="13"/>
  <c r="G45" i="13"/>
  <c r="H45" i="13"/>
  <c r="B46" i="13"/>
  <c r="C46" i="13"/>
  <c r="D46" i="13"/>
  <c r="E46" i="13"/>
  <c r="F46" i="13"/>
  <c r="G46" i="13"/>
  <c r="H46" i="13"/>
  <c r="B47" i="13"/>
  <c r="C47" i="13"/>
  <c r="D47" i="13"/>
  <c r="E47" i="13"/>
  <c r="F47" i="13"/>
  <c r="G47" i="13"/>
  <c r="H47" i="13"/>
  <c r="B48" i="13"/>
  <c r="C48" i="13"/>
  <c r="D48" i="13"/>
  <c r="E48" i="13"/>
  <c r="F48" i="13"/>
  <c r="G48" i="13"/>
  <c r="H48" i="13"/>
  <c r="B49" i="13"/>
  <c r="C49" i="13"/>
  <c r="D49" i="13"/>
  <c r="E49" i="13"/>
  <c r="F49" i="13"/>
  <c r="G49" i="13"/>
  <c r="H49" i="13"/>
  <c r="B50" i="13"/>
  <c r="C50" i="13"/>
  <c r="D50" i="13"/>
  <c r="E50" i="13"/>
  <c r="F50" i="13"/>
  <c r="G50" i="13"/>
  <c r="H50" i="13"/>
  <c r="B51" i="13"/>
  <c r="C51" i="13"/>
  <c r="D51" i="13"/>
  <c r="E51" i="13"/>
  <c r="F51" i="13"/>
  <c r="G51" i="13"/>
  <c r="H51" i="13"/>
  <c r="B52" i="13"/>
  <c r="C52" i="13"/>
  <c r="D52" i="13"/>
  <c r="E52" i="13"/>
  <c r="F52" i="13"/>
  <c r="G52" i="13"/>
  <c r="H52" i="13"/>
  <c r="B53" i="13"/>
  <c r="C53" i="13"/>
  <c r="D53" i="13"/>
  <c r="E53" i="13"/>
  <c r="F53" i="13"/>
  <c r="G53" i="13"/>
  <c r="H53" i="13"/>
  <c r="B54" i="13"/>
  <c r="C54" i="13"/>
  <c r="D54" i="13"/>
  <c r="E54" i="13"/>
  <c r="F54" i="13"/>
  <c r="G54" i="13"/>
  <c r="H54" i="13"/>
  <c r="B55" i="13"/>
  <c r="C55" i="13"/>
  <c r="D55" i="13"/>
  <c r="E55" i="13"/>
  <c r="F55" i="13"/>
  <c r="G55" i="13"/>
  <c r="H55" i="13"/>
  <c r="B56" i="13"/>
  <c r="C56" i="13"/>
  <c r="D56" i="13"/>
  <c r="E56" i="13"/>
  <c r="F56" i="13"/>
  <c r="G56" i="13"/>
  <c r="H56" i="13"/>
  <c r="B57" i="13"/>
  <c r="C57" i="13"/>
  <c r="D57" i="13"/>
  <c r="E57" i="13"/>
  <c r="F57" i="13"/>
  <c r="G57" i="13"/>
  <c r="H57" i="13"/>
  <c r="B58" i="13"/>
  <c r="C58" i="13"/>
  <c r="D58" i="13"/>
  <c r="E58" i="13"/>
  <c r="F58" i="13"/>
  <c r="G58" i="13"/>
  <c r="H58" i="13"/>
  <c r="B59" i="13"/>
  <c r="C59" i="13"/>
  <c r="D59" i="13"/>
  <c r="E59" i="13"/>
  <c r="F59" i="13"/>
  <c r="G59" i="13"/>
  <c r="H59" i="13"/>
  <c r="B60" i="13"/>
  <c r="C60" i="13"/>
  <c r="D60" i="13"/>
  <c r="E60" i="13"/>
  <c r="F60" i="13"/>
  <c r="G60" i="13"/>
  <c r="H60" i="13"/>
  <c r="B61" i="13"/>
  <c r="C61" i="13"/>
  <c r="D61" i="13"/>
  <c r="E61" i="13"/>
  <c r="F61" i="13"/>
  <c r="G61" i="13"/>
  <c r="H61" i="13"/>
  <c r="B62" i="13"/>
  <c r="C62" i="13"/>
  <c r="D62" i="13"/>
  <c r="E62" i="13"/>
  <c r="F62" i="13"/>
  <c r="G62" i="13"/>
  <c r="H62" i="13"/>
  <c r="B63" i="13"/>
  <c r="C63" i="13"/>
  <c r="D63" i="13"/>
  <c r="E63" i="13"/>
  <c r="F63" i="13"/>
  <c r="G63" i="13"/>
  <c r="H63" i="13"/>
  <c r="B64" i="13"/>
  <c r="C64" i="13"/>
  <c r="D64" i="13"/>
  <c r="E64" i="13"/>
  <c r="F64" i="13"/>
  <c r="G64" i="13"/>
  <c r="H64" i="13"/>
  <c r="B65" i="13"/>
  <c r="C65" i="13"/>
  <c r="D65" i="13"/>
  <c r="E65" i="13"/>
  <c r="F65" i="13"/>
  <c r="G65" i="13"/>
  <c r="H65" i="13"/>
  <c r="B66" i="13"/>
  <c r="C66" i="13"/>
  <c r="D66" i="13"/>
  <c r="E66" i="13"/>
  <c r="F66" i="13"/>
  <c r="G66" i="13"/>
  <c r="H66" i="13"/>
  <c r="G2" i="13"/>
  <c r="F2" i="13"/>
  <c r="E2" i="13"/>
  <c r="D2" i="13"/>
  <c r="U2" i="1"/>
  <c r="T2" i="1"/>
  <c r="C2" i="13"/>
  <c r="B2" i="13"/>
  <c r="S2" i="1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3" i="13"/>
  <c r="A4" i="13"/>
  <c r="A5" i="13"/>
  <c r="A6" i="13"/>
  <c r="A7" i="13"/>
  <c r="A8" i="13"/>
  <c r="A2" i="13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S15" i="1"/>
  <c r="S57" i="1"/>
  <c r="S22" i="1"/>
  <c r="S21" i="1"/>
  <c r="S19" i="1"/>
  <c r="S7" i="1"/>
  <c r="S5" i="1"/>
  <c r="S3" i="1"/>
  <c r="S4" i="1"/>
  <c r="S8" i="1"/>
  <c r="S10" i="1"/>
  <c r="S11" i="1"/>
  <c r="S12" i="1"/>
  <c r="S14" i="1"/>
  <c r="S16" i="1"/>
  <c r="S17" i="1"/>
  <c r="S18" i="1"/>
  <c r="S23" i="1"/>
  <c r="S24" i="1"/>
  <c r="S27" i="1"/>
  <c r="S28" i="1"/>
  <c r="S29" i="1"/>
  <c r="S30" i="1"/>
  <c r="S31" i="1"/>
  <c r="S32" i="1"/>
  <c r="S38" i="1"/>
  <c r="S51" i="1"/>
  <c r="S58" i="1"/>
  <c r="S60" i="1"/>
  <c r="S61" i="1"/>
  <c r="S64" i="1"/>
  <c r="S65" i="1"/>
  <c r="S66" i="1"/>
  <c r="C2" i="7"/>
  <c r="D2" i="7"/>
  <c r="B2" i="7"/>
  <c r="S52" i="1" l="1"/>
  <c r="S55" i="1"/>
  <c r="S50" i="1"/>
  <c r="S49" i="1"/>
  <c r="S36" i="1"/>
  <c r="S9" i="1"/>
  <c r="S63" i="1"/>
  <c r="S53" i="1"/>
  <c r="S33" i="1"/>
  <c r="S46" i="1"/>
  <c r="S43" i="1"/>
  <c r="S56" i="1"/>
  <c r="S45" i="1"/>
  <c r="S42" i="1"/>
  <c r="S40" i="1"/>
  <c r="S59" i="1"/>
  <c r="S37" i="1"/>
  <c r="S41" i="1"/>
  <c r="S35" i="1"/>
  <c r="S13" i="1"/>
  <c r="S26" i="1"/>
  <c r="S47" i="1"/>
  <c r="S34" i="1"/>
  <c r="S39" i="1"/>
  <c r="S20" i="1"/>
  <c r="S6" i="1"/>
  <c r="S54" i="1"/>
  <c r="S62" i="1"/>
  <c r="S44" i="1"/>
  <c r="S25" i="1"/>
  <c r="S48" i="1"/>
  <c r="P2" i="7" l="1"/>
  <c r="N2" i="7"/>
  <c r="M2" i="7"/>
  <c r="L2" i="7"/>
  <c r="K2" i="7"/>
  <c r="J2" i="7"/>
  <c r="H2" i="7" a="1"/>
  <c r="H2" i="7" s="1"/>
  <c r="H3" i="7" a="1"/>
  <c r="H3" i="7" s="1"/>
  <c r="I3" i="7" s="1"/>
  <c r="H4" i="7" a="1"/>
  <c r="H4" i="7" s="1"/>
  <c r="I4" i="7" s="1"/>
  <c r="H5" i="7" a="1"/>
  <c r="H5" i="7" s="1"/>
  <c r="I5" i="7" s="1"/>
  <c r="H6" i="7" a="1"/>
  <c r="H6" i="7" s="1"/>
  <c r="I6" i="7" s="1"/>
  <c r="H7" i="7" a="1"/>
  <c r="H7" i="7"/>
  <c r="I7" i="7" s="1"/>
  <c r="H8" i="7" a="1"/>
  <c r="H8" i="7" s="1"/>
  <c r="I8" i="7" s="1"/>
  <c r="H9" i="7" a="1"/>
  <c r="H9" i="7" s="1"/>
  <c r="I9" i="7" s="1"/>
  <c r="H10" i="7" a="1"/>
  <c r="H10" i="7" s="1"/>
  <c r="I10" i="7" s="1"/>
  <c r="H11" i="7" a="1"/>
  <c r="H11" i="7" s="1"/>
  <c r="I11" i="7" s="1"/>
  <c r="H12" i="7" a="1"/>
  <c r="H12" i="7" s="1"/>
  <c r="I12" i="7" s="1"/>
  <c r="H13" i="7" a="1"/>
  <c r="H13" i="7" s="1"/>
  <c r="I13" i="7" s="1"/>
  <c r="H14" i="7" a="1"/>
  <c r="H14" i="7" s="1"/>
  <c r="I14" i="7" s="1"/>
  <c r="H15" i="7" a="1"/>
  <c r="H15" i="7" s="1"/>
  <c r="I15" i="7" s="1"/>
  <c r="H16" i="7" a="1"/>
  <c r="H16" i="7" s="1"/>
  <c r="I16" i="7" s="1"/>
  <c r="H17" i="7" a="1"/>
  <c r="H17" i="7" s="1"/>
  <c r="I17" i="7" s="1"/>
  <c r="H18" i="7" a="1"/>
  <c r="H18" i="7" s="1"/>
  <c r="I18" i="7" s="1"/>
  <c r="H19" i="7" a="1"/>
  <c r="H19" i="7" s="1"/>
  <c r="I19" i="7" s="1"/>
  <c r="H20" i="7" a="1"/>
  <c r="H20" i="7" s="1"/>
  <c r="I20" i="7" s="1"/>
  <c r="H21" i="7" a="1"/>
  <c r="H21" i="7" s="1"/>
  <c r="I21" i="7" s="1"/>
  <c r="H22" i="7" a="1"/>
  <c r="H22" i="7" s="1"/>
  <c r="I22" i="7" s="1"/>
  <c r="H23" i="7" a="1"/>
  <c r="H23" i="7" s="1"/>
  <c r="I23" i="7" s="1"/>
  <c r="H24" i="7" a="1"/>
  <c r="H24" i="7" s="1"/>
  <c r="I24" i="7" s="1"/>
  <c r="H25" i="7" a="1"/>
  <c r="H25" i="7" s="1"/>
  <c r="I25" i="7" s="1"/>
  <c r="H26" i="7" a="1"/>
  <c r="H26" i="7" s="1"/>
  <c r="I26" i="7" s="1"/>
  <c r="H27" i="7" a="1"/>
  <c r="H27" i="7" s="1"/>
  <c r="I27" i="7" s="1"/>
  <c r="H28" i="7" a="1"/>
  <c r="H28" i="7" s="1"/>
  <c r="I28" i="7" s="1"/>
  <c r="H29" i="7" a="1"/>
  <c r="H29" i="7" s="1"/>
  <c r="I29" i="7" s="1"/>
  <c r="H30" i="7" a="1"/>
  <c r="H30" i="7" s="1"/>
  <c r="I30" i="7" s="1"/>
  <c r="H31" i="7" a="1"/>
  <c r="H31" i="7" s="1"/>
  <c r="I31" i="7" s="1"/>
  <c r="H32" i="7" a="1"/>
  <c r="H32" i="7" s="1"/>
  <c r="I32" i="7" s="1"/>
  <c r="H33" i="7" a="1"/>
  <c r="H33" i="7" s="1"/>
  <c r="I33" i="7" s="1"/>
  <c r="H34" i="7" a="1"/>
  <c r="H34" i="7" s="1"/>
  <c r="I34" i="7" s="1"/>
  <c r="H35" i="7" a="1"/>
  <c r="H35" i="7" s="1"/>
  <c r="I35" i="7" s="1"/>
  <c r="H36" i="7" a="1"/>
  <c r="H36" i="7" s="1"/>
  <c r="I36" i="7" s="1"/>
  <c r="H37" i="7" a="1"/>
  <c r="H37" i="7" s="1"/>
  <c r="I37" i="7" s="1"/>
  <c r="H38" i="7" a="1"/>
  <c r="H38" i="7" s="1"/>
  <c r="I38" i="7" s="1"/>
  <c r="H39" i="7" a="1"/>
  <c r="H39" i="7" s="1"/>
  <c r="I39" i="7" s="1"/>
  <c r="H40" i="7" a="1"/>
  <c r="H40" i="7" s="1"/>
  <c r="I40" i="7" s="1"/>
  <c r="H41" i="7" a="1"/>
  <c r="H41" i="7" s="1"/>
  <c r="I41" i="7" s="1"/>
  <c r="H42" i="7" a="1"/>
  <c r="H42" i="7" s="1"/>
  <c r="I42" i="7" s="1"/>
  <c r="H43" i="7" a="1"/>
  <c r="H43" i="7" s="1"/>
  <c r="I43" i="7" s="1"/>
  <c r="H44" i="7" a="1"/>
  <c r="H44" i="7" s="1"/>
  <c r="I44" i="7" s="1"/>
  <c r="H45" i="7" a="1"/>
  <c r="H45" i="7" s="1"/>
  <c r="I45" i="7" s="1"/>
  <c r="H46" i="7" a="1"/>
  <c r="H46" i="7" s="1"/>
  <c r="I46" i="7" s="1"/>
  <c r="H47" i="7" a="1"/>
  <c r="H47" i="7" s="1"/>
  <c r="I47" i="7" s="1"/>
  <c r="H48" i="7" a="1"/>
  <c r="H48" i="7" s="1"/>
  <c r="I48" i="7" s="1"/>
  <c r="H49" i="7" a="1"/>
  <c r="H49" i="7" s="1"/>
  <c r="I49" i="7" s="1"/>
  <c r="H50" i="7" a="1"/>
  <c r="H50" i="7" s="1"/>
  <c r="I50" i="7" s="1"/>
  <c r="H51" i="7" a="1"/>
  <c r="H51" i="7" s="1"/>
  <c r="I51" i="7" s="1"/>
  <c r="H52" i="7" a="1"/>
  <c r="H52" i="7" s="1"/>
  <c r="I52" i="7" s="1"/>
  <c r="H53" i="7" a="1"/>
  <c r="H53" i="7" s="1"/>
  <c r="I53" i="7" s="1"/>
  <c r="H54" i="7" a="1"/>
  <c r="H54" i="7" s="1"/>
  <c r="I54" i="7" s="1"/>
  <c r="H55" i="7" a="1"/>
  <c r="H55" i="7" s="1"/>
  <c r="I55" i="7" s="1"/>
  <c r="H56" i="7" a="1"/>
  <c r="H56" i="7" s="1"/>
  <c r="I56" i="7" s="1"/>
  <c r="H57" i="7" a="1"/>
  <c r="H57" i="7" s="1"/>
  <c r="I57" i="7" s="1"/>
  <c r="H58" i="7" a="1"/>
  <c r="H58" i="7" s="1"/>
  <c r="I58" i="7" s="1"/>
  <c r="H59" i="7" a="1"/>
  <c r="H59" i="7" s="1"/>
  <c r="I59" i="7" s="1"/>
  <c r="H60" i="7" a="1"/>
  <c r="H60" i="7" s="1"/>
  <c r="I60" i="7" s="1"/>
  <c r="H61" i="7" a="1"/>
  <c r="H61" i="7" s="1"/>
  <c r="I61" i="7" s="1"/>
  <c r="H62" i="7" a="1"/>
  <c r="H62" i="7" s="1"/>
  <c r="I62" i="7" s="1"/>
  <c r="H63" i="7" a="1"/>
  <c r="H63" i="7" s="1"/>
  <c r="I63" i="7" s="1"/>
  <c r="H64" i="7" a="1"/>
  <c r="H64" i="7" s="1"/>
  <c r="I64" i="7" s="1"/>
  <c r="H65" i="7" a="1"/>
  <c r="H65" i="7" s="1"/>
  <c r="I65" i="7" s="1"/>
  <c r="H66" i="7" a="1"/>
  <c r="H66" i="7" s="1"/>
  <c r="I66" i="7" s="1"/>
  <c r="H67" i="7" a="1"/>
  <c r="H67" i="7" s="1"/>
  <c r="I67" i="7" s="1"/>
  <c r="H68" i="7" a="1"/>
  <c r="H68" i="7" s="1"/>
  <c r="I68" i="7" s="1"/>
  <c r="G2" i="7" a="1"/>
  <c r="G2" i="7"/>
  <c r="F2" i="7" a="1"/>
  <c r="F2" i="7"/>
  <c r="E2" i="7" a="1"/>
  <c r="E2" i="7"/>
  <c r="A2" i="7"/>
  <c r="P2" i="4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B12" i="7"/>
  <c r="G41" i="7"/>
  <c r="G38" i="7"/>
  <c r="G56" i="7"/>
  <c r="G47" i="7"/>
  <c r="B43" i="7"/>
  <c r="E44" i="7"/>
  <c r="F25" i="7"/>
  <c r="G12" i="7"/>
  <c r="F38" i="7"/>
  <c r="E38" i="7"/>
  <c r="B29" i="7"/>
  <c r="D44" i="7"/>
  <c r="F63" i="7"/>
  <c r="D63" i="7"/>
  <c r="E63" i="7"/>
  <c r="B63" i="7"/>
  <c r="E62" i="7"/>
  <c r="F62" i="7"/>
  <c r="B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D59" i="7"/>
  <c r="E59" i="7"/>
  <c r="G59" i="7"/>
  <c r="B59" i="7"/>
  <c r="F59" i="7"/>
  <c r="F45" i="7"/>
  <c r="D45" i="7"/>
  <c r="E45" i="7"/>
  <c r="B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E30" i="7"/>
  <c r="C30" i="7"/>
  <c r="D30" i="7"/>
  <c r="G16" i="7"/>
  <c r="C29" i="7"/>
  <c r="F41" i="7"/>
  <c r="F16" i="7"/>
  <c r="E41" i="7"/>
  <c r="G29" i="7"/>
  <c r="B58" i="7"/>
  <c r="G58" i="7"/>
  <c r="F29" i="7"/>
  <c r="G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G20" i="7"/>
  <c r="G7" i="7"/>
  <c r="D47" i="7"/>
  <c r="E47" i="7"/>
  <c r="F47" i="7"/>
  <c r="B7" i="7"/>
  <c r="C8" i="7"/>
  <c r="D49" i="7"/>
  <c r="E36" i="7"/>
  <c r="F20" i="7"/>
  <c r="F7" i="7"/>
  <c r="G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E16" i="7"/>
  <c r="P63" i="4"/>
  <c r="P3" i="4"/>
  <c r="P4" i="4"/>
  <c r="P25" i="4"/>
  <c r="P6" i="4"/>
  <c r="P7" i="4"/>
  <c r="P35" i="4"/>
  <c r="P37" i="4"/>
  <c r="P10" i="4"/>
  <c r="P17" i="4"/>
  <c r="P38" i="4"/>
  <c r="P26" i="4"/>
  <c r="P9" i="4"/>
  <c r="P15" i="4"/>
  <c r="P27" i="4"/>
  <c r="P54" i="4"/>
  <c r="P39" i="4"/>
  <c r="P40" i="4"/>
  <c r="P28" i="4"/>
  <c r="P8" i="4"/>
  <c r="P20" i="4"/>
  <c r="P18" i="4"/>
  <c r="P24" i="4"/>
  <c r="P29" i="4"/>
  <c r="P59" i="4"/>
  <c r="P16" i="4"/>
  <c r="P13" i="4"/>
  <c r="P30" i="4"/>
  <c r="P5" i="4"/>
  <c r="P19" i="4"/>
  <c r="P32" i="4"/>
  <c r="P33" i="4"/>
  <c r="P21" i="4"/>
  <c r="P12" i="4"/>
  <c r="P36" i="4"/>
  <c r="P22" i="4"/>
  <c r="P41" i="4"/>
  <c r="P31" i="4"/>
  <c r="P14" i="4"/>
  <c r="P34" i="4"/>
  <c r="P42" i="4"/>
  <c r="P43" i="4"/>
  <c r="P44" i="4"/>
  <c r="P45" i="4"/>
  <c r="P46" i="4"/>
  <c r="P47" i="4"/>
  <c r="P48" i="4"/>
  <c r="P49" i="4"/>
  <c r="P11" i="4"/>
  <c r="P51" i="4"/>
  <c r="P52" i="4"/>
  <c r="P53" i="4"/>
  <c r="P50" i="4"/>
  <c r="P55" i="4"/>
  <c r="P56" i="4"/>
  <c r="P57" i="4"/>
  <c r="P58" i="4"/>
  <c r="P23" i="4"/>
  <c r="P60" i="4"/>
  <c r="P61" i="4"/>
  <c r="P62" i="4"/>
  <c r="I2" i="7" l="1"/>
  <c r="B7" i="4" l="1"/>
  <c r="AF12" i="1"/>
  <c r="AG12" i="1" s="1"/>
  <c r="T58" i="1"/>
  <c r="AF58" i="1"/>
  <c r="AG58" i="1" s="1"/>
  <c r="AF39" i="1"/>
  <c r="AG39" i="1" s="1"/>
  <c r="AF16" i="1"/>
  <c r="AG16" i="1" s="1"/>
  <c r="AF20" i="1"/>
  <c r="AG20" i="1" s="1"/>
  <c r="AF17" i="1"/>
  <c r="AG17" i="1" s="1"/>
  <c r="AF15" i="1"/>
  <c r="AG15" i="1" s="1"/>
  <c r="T56" i="1"/>
  <c r="E29" i="4"/>
  <c r="C29" i="4"/>
  <c r="G29" i="4"/>
  <c r="D29" i="4"/>
  <c r="H29" i="4"/>
  <c r="B29" i="4"/>
  <c r="F29" i="4"/>
  <c r="AF59" i="1"/>
  <c r="AG59" i="1" s="1"/>
  <c r="H39" i="4"/>
  <c r="G39" i="4"/>
  <c r="D39" i="4"/>
  <c r="F39" i="4"/>
  <c r="E39" i="4"/>
  <c r="C39" i="4"/>
  <c r="B39" i="4"/>
  <c r="D31" i="4"/>
  <c r="C31" i="4"/>
  <c r="E31" i="4"/>
  <c r="H31" i="4"/>
  <c r="B31" i="4"/>
  <c r="G31" i="4"/>
  <c r="F31" i="4"/>
  <c r="AF30" i="1"/>
  <c r="AG30" i="1" s="1"/>
  <c r="AF21" i="1"/>
  <c r="AG21" i="1" s="1"/>
  <c r="F52" i="4"/>
  <c r="D52" i="4"/>
  <c r="B52" i="4"/>
  <c r="C52" i="4"/>
  <c r="H52" i="4"/>
  <c r="E52" i="4"/>
  <c r="G52" i="4"/>
  <c r="H60" i="4"/>
  <c r="F60" i="4"/>
  <c r="D60" i="4"/>
  <c r="B60" i="4"/>
  <c r="C60" i="4"/>
  <c r="E60" i="4"/>
  <c r="G60" i="4"/>
  <c r="H54" i="4"/>
  <c r="F54" i="4"/>
  <c r="E54" i="4"/>
  <c r="B54" i="4"/>
  <c r="D54" i="4"/>
  <c r="C54" i="4"/>
  <c r="G54" i="4"/>
  <c r="F4" i="4"/>
  <c r="G4" i="4"/>
  <c r="E4" i="4"/>
  <c r="B4" i="4"/>
  <c r="D4" i="4"/>
  <c r="C4" i="4"/>
  <c r="H4" i="4"/>
  <c r="F37" i="4"/>
  <c r="G37" i="4"/>
  <c r="C37" i="4"/>
  <c r="D37" i="4"/>
  <c r="H37" i="4"/>
  <c r="E37" i="4"/>
  <c r="B37" i="4"/>
  <c r="I37" i="4" s="1"/>
  <c r="E10" i="4"/>
  <c r="B10" i="4"/>
  <c r="F10" i="4"/>
  <c r="G10" i="4"/>
  <c r="D10" i="4"/>
  <c r="C10" i="4"/>
  <c r="H10" i="4"/>
  <c r="B22" i="4"/>
  <c r="C22" i="4"/>
  <c r="H22" i="4"/>
  <c r="G22" i="4"/>
  <c r="E22" i="4"/>
  <c r="F22" i="4"/>
  <c r="D22" i="4"/>
  <c r="G30" i="4"/>
  <c r="E30" i="4"/>
  <c r="H30" i="4"/>
  <c r="F30" i="4"/>
  <c r="D30" i="4"/>
  <c r="B30" i="4"/>
  <c r="C30" i="4"/>
  <c r="AF47" i="1"/>
  <c r="AG47" i="1" s="1"/>
  <c r="AF42" i="1"/>
  <c r="AG42" i="1" s="1"/>
  <c r="AF35" i="1"/>
  <c r="AG35" i="1" s="1"/>
  <c r="AF37" i="1"/>
  <c r="AG37" i="1" s="1"/>
  <c r="T30" i="1"/>
  <c r="AF11" i="1"/>
  <c r="AG11" i="1" s="1"/>
  <c r="B50" i="4"/>
  <c r="F33" i="4"/>
  <c r="B33" i="4"/>
  <c r="D33" i="4"/>
  <c r="C33" i="4"/>
  <c r="G33" i="4"/>
  <c r="H33" i="4"/>
  <c r="E33" i="4"/>
  <c r="B6" i="4"/>
  <c r="AF46" i="1"/>
  <c r="AG46" i="1" s="1"/>
  <c r="B2" i="4"/>
  <c r="AF34" i="1"/>
  <c r="AG34" i="1" s="1"/>
  <c r="AF33" i="1"/>
  <c r="AG33" i="1" s="1"/>
  <c r="E16" i="4"/>
  <c r="H16" i="4"/>
  <c r="G16" i="4"/>
  <c r="F16" i="4"/>
  <c r="C16" i="4"/>
  <c r="D16" i="4"/>
  <c r="B16" i="4"/>
  <c r="G3" i="4"/>
  <c r="F3" i="4"/>
  <c r="E3" i="4"/>
  <c r="H3" i="4"/>
  <c r="B3" i="4"/>
  <c r="C3" i="4"/>
  <c r="D3" i="4"/>
  <c r="D40" i="4"/>
  <c r="B40" i="4"/>
  <c r="C40" i="4"/>
  <c r="E40" i="4"/>
  <c r="H40" i="4"/>
  <c r="F40" i="4"/>
  <c r="G40" i="4"/>
  <c r="B42" i="4"/>
  <c r="C42" i="4"/>
  <c r="H42" i="4"/>
  <c r="G42" i="4"/>
  <c r="F42" i="4"/>
  <c r="D42" i="4"/>
  <c r="E42" i="4"/>
  <c r="T11" i="1"/>
  <c r="B41" i="4"/>
  <c r="D41" i="4"/>
  <c r="E41" i="4"/>
  <c r="H41" i="4"/>
  <c r="C41" i="4"/>
  <c r="F41" i="4"/>
  <c r="G41" i="4"/>
  <c r="E57" i="4"/>
  <c r="C57" i="4"/>
  <c r="H57" i="4"/>
  <c r="F57" i="4"/>
  <c r="D57" i="4"/>
  <c r="G57" i="4"/>
  <c r="B57" i="4"/>
  <c r="I57" i="4" s="1"/>
  <c r="F12" i="4"/>
  <c r="E12" i="4"/>
  <c r="D12" i="4"/>
  <c r="B12" i="4"/>
  <c r="I12" i="4" s="1"/>
  <c r="C12" i="4"/>
  <c r="H12" i="4"/>
  <c r="G12" i="4"/>
  <c r="B48" i="4"/>
  <c r="C48" i="4"/>
  <c r="D48" i="4"/>
  <c r="H48" i="4"/>
  <c r="G48" i="4"/>
  <c r="F48" i="4"/>
  <c r="E48" i="4"/>
  <c r="B62" i="4"/>
  <c r="F62" i="4"/>
  <c r="E62" i="4"/>
  <c r="H62" i="4"/>
  <c r="C62" i="4"/>
  <c r="D62" i="4"/>
  <c r="G62" i="4"/>
  <c r="F61" i="4"/>
  <c r="D61" i="4"/>
  <c r="B61" i="4"/>
  <c r="G61" i="4"/>
  <c r="C61" i="4"/>
  <c r="E61" i="4"/>
  <c r="H61" i="4"/>
  <c r="F44" i="4"/>
  <c r="D44" i="4"/>
  <c r="E44" i="4"/>
  <c r="G44" i="4"/>
  <c r="B44" i="4"/>
  <c r="C44" i="4"/>
  <c r="H44" i="4"/>
  <c r="F28" i="4"/>
  <c r="G28" i="4"/>
  <c r="H28" i="4"/>
  <c r="B28" i="4"/>
  <c r="E28" i="4"/>
  <c r="C28" i="4"/>
  <c r="D28" i="4"/>
  <c r="AF3" i="1"/>
  <c r="AG3" i="1" s="1"/>
  <c r="B51" i="4"/>
  <c r="H19" i="4"/>
  <c r="G19" i="4"/>
  <c r="B19" i="4"/>
  <c r="D19" i="4"/>
  <c r="C19" i="4"/>
  <c r="F19" i="4"/>
  <c r="E19" i="4"/>
  <c r="T43" i="1"/>
  <c r="F49" i="4"/>
  <c r="D49" i="4"/>
  <c r="E49" i="4"/>
  <c r="B49" i="4"/>
  <c r="H49" i="4"/>
  <c r="G49" i="4"/>
  <c r="C49" i="4"/>
  <c r="H13" i="4"/>
  <c r="G13" i="4"/>
  <c r="C13" i="4"/>
  <c r="B13" i="4"/>
  <c r="E13" i="4"/>
  <c r="F13" i="4"/>
  <c r="D13" i="4"/>
  <c r="AF28" i="1"/>
  <c r="AG28" i="1" s="1"/>
  <c r="AF2" i="1"/>
  <c r="G38" i="4"/>
  <c r="H38" i="4"/>
  <c r="E38" i="4"/>
  <c r="F38" i="4"/>
  <c r="D38" i="4"/>
  <c r="B38" i="4"/>
  <c r="C38" i="4"/>
  <c r="H56" i="4"/>
  <c r="E56" i="4"/>
  <c r="B56" i="4"/>
  <c r="C56" i="4"/>
  <c r="G56" i="4"/>
  <c r="F56" i="4"/>
  <c r="D56" i="4"/>
  <c r="H59" i="4"/>
  <c r="D59" i="4"/>
  <c r="F59" i="4"/>
  <c r="G59" i="4"/>
  <c r="B59" i="4"/>
  <c r="C59" i="4"/>
  <c r="E59" i="4"/>
  <c r="D25" i="4"/>
  <c r="F25" i="4"/>
  <c r="C25" i="4"/>
  <c r="G25" i="4"/>
  <c r="B25" i="4"/>
  <c r="E25" i="4"/>
  <c r="H25" i="4"/>
  <c r="H9" i="4"/>
  <c r="F9" i="4"/>
  <c r="B9" i="4"/>
  <c r="C9" i="4"/>
  <c r="E9" i="4"/>
  <c r="D9" i="4"/>
  <c r="G9" i="4"/>
  <c r="D47" i="4"/>
  <c r="C47" i="4"/>
  <c r="F47" i="4"/>
  <c r="H47" i="4"/>
  <c r="E47" i="4"/>
  <c r="B47" i="4"/>
  <c r="G47" i="4"/>
  <c r="C21" i="4"/>
  <c r="H21" i="4"/>
  <c r="E21" i="4"/>
  <c r="D21" i="4"/>
  <c r="B21" i="4"/>
  <c r="G21" i="4"/>
  <c r="F21" i="4"/>
  <c r="B23" i="4"/>
  <c r="E23" i="4"/>
  <c r="H23" i="4"/>
  <c r="C23" i="4"/>
  <c r="G23" i="4"/>
  <c r="F23" i="4"/>
  <c r="D23" i="4"/>
  <c r="E7" i="4"/>
  <c r="H7" i="4"/>
  <c r="G7" i="4"/>
  <c r="C7" i="4"/>
  <c r="D7" i="4"/>
  <c r="F7" i="4"/>
  <c r="E27" i="4"/>
  <c r="D27" i="4"/>
  <c r="G27" i="4"/>
  <c r="H27" i="4"/>
  <c r="F27" i="4"/>
  <c r="B27" i="4"/>
  <c r="C27" i="4"/>
  <c r="F50" i="4"/>
  <c r="E50" i="4"/>
  <c r="C50" i="4"/>
  <c r="H50" i="4"/>
  <c r="G50" i="4"/>
  <c r="D50" i="4"/>
  <c r="G18" i="4"/>
  <c r="E18" i="4"/>
  <c r="D18" i="4"/>
  <c r="H18" i="4"/>
  <c r="C18" i="4"/>
  <c r="F18" i="4"/>
  <c r="B18" i="4"/>
  <c r="D45" i="4"/>
  <c r="F45" i="4"/>
  <c r="G45" i="4"/>
  <c r="H45" i="4"/>
  <c r="B45" i="4"/>
  <c r="C45" i="4"/>
  <c r="E45" i="4"/>
  <c r="H32" i="4"/>
  <c r="G32" i="4"/>
  <c r="B32" i="4"/>
  <c r="E32" i="4"/>
  <c r="D32" i="4"/>
  <c r="C32" i="4"/>
  <c r="F32" i="4"/>
  <c r="F17" i="4"/>
  <c r="G17" i="4"/>
  <c r="E17" i="4"/>
  <c r="D17" i="4"/>
  <c r="H17" i="4"/>
  <c r="B17" i="4"/>
  <c r="C17" i="4"/>
  <c r="C53" i="4"/>
  <c r="E53" i="4"/>
  <c r="B53" i="4"/>
  <c r="H53" i="4"/>
  <c r="G53" i="4"/>
  <c r="F53" i="4"/>
  <c r="D53" i="4"/>
  <c r="H58" i="4"/>
  <c r="F58" i="4"/>
  <c r="E58" i="4"/>
  <c r="D58" i="4"/>
  <c r="G58" i="4"/>
  <c r="B58" i="4"/>
  <c r="C58" i="4"/>
  <c r="C5" i="4"/>
  <c r="E5" i="4"/>
  <c r="H5" i="4"/>
  <c r="G5" i="4"/>
  <c r="F5" i="4"/>
  <c r="B5" i="4"/>
  <c r="D5" i="4"/>
  <c r="D51" i="4"/>
  <c r="H51" i="4"/>
  <c r="F51" i="4"/>
  <c r="G51" i="4"/>
  <c r="E51" i="4"/>
  <c r="C51" i="4"/>
  <c r="B26" i="4"/>
  <c r="C26" i="4"/>
  <c r="E26" i="4"/>
  <c r="H26" i="4"/>
  <c r="G26" i="4"/>
  <c r="D26" i="4"/>
  <c r="F26" i="4"/>
  <c r="AF23" i="1"/>
  <c r="AG23" i="1" s="1"/>
  <c r="G55" i="4"/>
  <c r="F55" i="4"/>
  <c r="D55" i="4"/>
  <c r="H55" i="4"/>
  <c r="E55" i="4"/>
  <c r="B55" i="4"/>
  <c r="C55" i="4"/>
  <c r="G63" i="4"/>
  <c r="F63" i="4"/>
  <c r="C63" i="4"/>
  <c r="H63" i="4"/>
  <c r="E63" i="4"/>
  <c r="B63" i="4"/>
  <c r="D63" i="4"/>
  <c r="H8" i="4"/>
  <c r="F8" i="4"/>
  <c r="D8" i="4"/>
  <c r="C8" i="4"/>
  <c r="E8" i="4"/>
  <c r="G8" i="4"/>
  <c r="B8" i="4"/>
  <c r="F11" i="4"/>
  <c r="E11" i="4"/>
  <c r="H11" i="4"/>
  <c r="D11" i="4"/>
  <c r="G11" i="4"/>
  <c r="C11" i="4"/>
  <c r="B11" i="4"/>
  <c r="C35" i="4"/>
  <c r="E35" i="4"/>
  <c r="F35" i="4"/>
  <c r="D35" i="4"/>
  <c r="H35" i="4"/>
  <c r="G35" i="4"/>
  <c r="B35" i="4"/>
  <c r="E36" i="4"/>
  <c r="G36" i="4"/>
  <c r="F36" i="4"/>
  <c r="D36" i="4"/>
  <c r="C36" i="4"/>
  <c r="H36" i="4"/>
  <c r="B36" i="4"/>
  <c r="AF65" i="1"/>
  <c r="AG65" i="1" s="1"/>
  <c r="E46" i="4"/>
  <c r="H46" i="4"/>
  <c r="D46" i="4"/>
  <c r="C46" i="4"/>
  <c r="G46" i="4"/>
  <c r="F46" i="4"/>
  <c r="B46" i="4"/>
  <c r="F15" i="4"/>
  <c r="G15" i="4"/>
  <c r="C15" i="4"/>
  <c r="D15" i="4"/>
  <c r="E15" i="4"/>
  <c r="H15" i="4"/>
  <c r="B15" i="4"/>
  <c r="D24" i="4"/>
  <c r="B24" i="4"/>
  <c r="G24" i="4"/>
  <c r="E24" i="4"/>
  <c r="H24" i="4"/>
  <c r="F24" i="4"/>
  <c r="C24" i="4"/>
  <c r="AF50" i="1"/>
  <c r="AG50" i="1" s="1"/>
  <c r="C14" i="4"/>
  <c r="H14" i="4"/>
  <c r="G14" i="4"/>
  <c r="B14" i="4"/>
  <c r="F14" i="4"/>
  <c r="E14" i="4"/>
  <c r="D14" i="4"/>
  <c r="H6" i="4"/>
  <c r="F6" i="4"/>
  <c r="C6" i="4"/>
  <c r="E6" i="4"/>
  <c r="G6" i="4"/>
  <c r="D6" i="4"/>
  <c r="C34" i="4"/>
  <c r="F34" i="4"/>
  <c r="D34" i="4"/>
  <c r="B34" i="4"/>
  <c r="G34" i="4"/>
  <c r="H34" i="4"/>
  <c r="E34" i="4"/>
  <c r="C2" i="4"/>
  <c r="G2" i="4"/>
  <c r="E2" i="4"/>
  <c r="H2" i="4"/>
  <c r="D2" i="4"/>
  <c r="F2" i="4"/>
  <c r="E20" i="4"/>
  <c r="F20" i="4"/>
  <c r="D20" i="4"/>
  <c r="C20" i="4"/>
  <c r="H20" i="4"/>
  <c r="G20" i="4"/>
  <c r="B20" i="4"/>
  <c r="H43" i="4"/>
  <c r="E43" i="4"/>
  <c r="G43" i="4"/>
  <c r="C43" i="4"/>
  <c r="F43" i="4"/>
  <c r="D43" i="4"/>
  <c r="B43" i="4"/>
  <c r="T62" i="1"/>
  <c r="Y57" i="1"/>
  <c r="U47" i="1"/>
  <c r="J59" i="4"/>
  <c r="AA26" i="1"/>
  <c r="W21" i="1"/>
  <c r="AA15" i="1"/>
  <c r="J15" i="4"/>
  <c r="X57" i="1"/>
  <c r="AF41" i="1"/>
  <c r="AG41" i="1" s="1"/>
  <c r="J36" i="4"/>
  <c r="AA36" i="1"/>
  <c r="AC31" i="1"/>
  <c r="L19" i="4"/>
  <c r="Y26" i="1"/>
  <c r="T21" i="1"/>
  <c r="U21" i="1"/>
  <c r="AB8" i="1"/>
  <c r="K35" i="4"/>
  <c r="W57" i="1"/>
  <c r="W46" i="1"/>
  <c r="AE41" i="1"/>
  <c r="N34" i="4"/>
  <c r="U36" i="1"/>
  <c r="K19" i="4"/>
  <c r="AB31" i="1"/>
  <c r="X26" i="1"/>
  <c r="AB14" i="1"/>
  <c r="K9" i="4"/>
  <c r="AC65" i="1"/>
  <c r="X60" i="1"/>
  <c r="N51" i="4"/>
  <c r="AE51" i="1"/>
  <c r="V46" i="1"/>
  <c r="AD41" i="1"/>
  <c r="M34" i="4"/>
  <c r="AA31" i="1"/>
  <c r="J19" i="4"/>
  <c r="W26" i="1"/>
  <c r="V20" i="1"/>
  <c r="AA14" i="1"/>
  <c r="J9" i="4"/>
  <c r="W60" i="1"/>
  <c r="AC41" i="1"/>
  <c r="L34" i="4"/>
  <c r="A36" i="4"/>
  <c r="R36" i="1"/>
  <c r="V60" i="1"/>
  <c r="U50" i="1"/>
  <c r="L5" i="4"/>
  <c r="AC30" i="1"/>
  <c r="W6" i="1"/>
  <c r="AD64" i="1"/>
  <c r="T60" i="1"/>
  <c r="U60" i="1"/>
  <c r="R55" i="1"/>
  <c r="A55" i="4"/>
  <c r="AD44" i="1"/>
  <c r="M44" i="4"/>
  <c r="AA18" i="1"/>
  <c r="J39" i="4"/>
  <c r="AD12" i="1"/>
  <c r="M38" i="4"/>
  <c r="AC64" i="1"/>
  <c r="U49" i="1"/>
  <c r="AC44" i="1"/>
  <c r="L44" i="4"/>
  <c r="T39" i="1"/>
  <c r="AB34" i="1"/>
  <c r="K21" i="4"/>
  <c r="M18" i="4"/>
  <c r="AD23" i="1"/>
  <c r="V5" i="1"/>
  <c r="AB64" i="1"/>
  <c r="W59" i="1"/>
  <c r="J50" i="4"/>
  <c r="AA54" i="1"/>
  <c r="T49" i="1"/>
  <c r="X44" i="1"/>
  <c r="AA34" i="1"/>
  <c r="J21" i="4"/>
  <c r="L18" i="4"/>
  <c r="AC23" i="1"/>
  <c r="Y18" i="1"/>
  <c r="T5" i="1"/>
  <c r="U5" i="1"/>
  <c r="Y54" i="1"/>
  <c r="W44" i="1"/>
  <c r="A39" i="4"/>
  <c r="R39" i="1"/>
  <c r="K18" i="4"/>
  <c r="AB23" i="1"/>
  <c r="AC11" i="1"/>
  <c r="L17" i="4"/>
  <c r="U63" i="1"/>
  <c r="X54" i="1"/>
  <c r="A49" i="4"/>
  <c r="R49" i="1"/>
  <c r="AC33" i="1"/>
  <c r="L33" i="4"/>
  <c r="N13" i="4"/>
  <c r="AE28" i="1"/>
  <c r="J17" i="4"/>
  <c r="AA11" i="1"/>
  <c r="T63" i="1"/>
  <c r="K57" i="4"/>
  <c r="AB57" i="1"/>
  <c r="AC43" i="1"/>
  <c r="L43" i="4"/>
  <c r="N41" i="4"/>
  <c r="AE38" i="1"/>
  <c r="J33" i="4"/>
  <c r="AA33" i="1"/>
  <c r="M13" i="4"/>
  <c r="AD28" i="1"/>
  <c r="AA8" i="1"/>
  <c r="J35" i="4"/>
  <c r="AB65" i="1"/>
  <c r="L38" i="4"/>
  <c r="AC12" i="1"/>
  <c r="AA57" i="1"/>
  <c r="J57" i="4"/>
  <c r="W47" i="1"/>
  <c r="AC38" i="1"/>
  <c r="L41" i="4"/>
  <c r="Y33" i="1"/>
  <c r="U62" i="1"/>
  <c r="U52" i="1"/>
  <c r="V47" i="1"/>
  <c r="Y21" i="1"/>
  <c r="AB15" i="1"/>
  <c r="K15" i="4"/>
  <c r="K5" i="4"/>
  <c r="AB30" i="1"/>
  <c r="Y25" i="1"/>
  <c r="AD22" i="1"/>
  <c r="M20" i="4"/>
  <c r="U20" i="1"/>
  <c r="Y17" i="1"/>
  <c r="AA64" i="1"/>
  <c r="AD61" i="1"/>
  <c r="M61" i="4"/>
  <c r="V59" i="1"/>
  <c r="W54" i="1"/>
  <c r="U46" i="1"/>
  <c r="X43" i="1"/>
  <c r="AE40" i="1"/>
  <c r="N14" i="4"/>
  <c r="T33" i="1"/>
  <c r="J5" i="4"/>
  <c r="AA30" i="1"/>
  <c r="AF27" i="1"/>
  <c r="AG27" i="1" s="1"/>
  <c r="X25" i="1"/>
  <c r="L20" i="4"/>
  <c r="AC22" i="1"/>
  <c r="X17" i="1"/>
  <c r="Y14" i="1"/>
  <c r="Y11" i="1"/>
  <c r="Y8" i="1"/>
  <c r="R5" i="1"/>
  <c r="A5" i="4"/>
  <c r="AC61" i="1"/>
  <c r="L61" i="4"/>
  <c r="T59" i="1"/>
  <c r="U59" i="1"/>
  <c r="Y56" i="1"/>
  <c r="Y51" i="1"/>
  <c r="AF48" i="1"/>
  <c r="AG48" i="1" s="1"/>
  <c r="T46" i="1"/>
  <c r="W43" i="1"/>
  <c r="M14" i="4"/>
  <c r="AD40" i="1"/>
  <c r="AE37" i="1"/>
  <c r="N22" i="4"/>
  <c r="AE35" i="1"/>
  <c r="N12" i="4"/>
  <c r="N16" i="4"/>
  <c r="AE27" i="1"/>
  <c r="W25" i="1"/>
  <c r="K20" i="4"/>
  <c r="AB22" i="1"/>
  <c r="W17" i="1"/>
  <c r="W14" i="1"/>
  <c r="X11" i="1"/>
  <c r="T8" i="1"/>
  <c r="X8" i="1"/>
  <c r="Y64" i="1"/>
  <c r="J61" i="4"/>
  <c r="AA61" i="1"/>
  <c r="W56" i="1"/>
  <c r="T53" i="1"/>
  <c r="Y53" i="1"/>
  <c r="AE48" i="1"/>
  <c r="N48" i="4"/>
  <c r="U43" i="1"/>
  <c r="AC40" i="1"/>
  <c r="L14" i="4"/>
  <c r="M22" i="4"/>
  <c r="AD37" i="1"/>
  <c r="A33" i="4"/>
  <c r="R33" i="1"/>
  <c r="Y30" i="1"/>
  <c r="AD27" i="1"/>
  <c r="M16" i="4"/>
  <c r="J20" i="4"/>
  <c r="AA22" i="1"/>
  <c r="N40" i="4"/>
  <c r="AE19" i="1"/>
  <c r="V17" i="1"/>
  <c r="U14" i="1"/>
  <c r="W11" i="1"/>
  <c r="W66" i="1"/>
  <c r="Y61" i="1"/>
  <c r="U56" i="1"/>
  <c r="X53" i="1"/>
  <c r="N11" i="4"/>
  <c r="AE50" i="1"/>
  <c r="R46" i="1"/>
  <c r="A46" i="4"/>
  <c r="V40" i="1"/>
  <c r="AC37" i="1"/>
  <c r="L22" i="4"/>
  <c r="AC27" i="1"/>
  <c r="L16" i="4"/>
  <c r="R25" i="1"/>
  <c r="A25" i="4"/>
  <c r="AD19" i="1"/>
  <c r="M40" i="4"/>
  <c r="T7" i="1"/>
  <c r="N3" i="4"/>
  <c r="AE3" i="1"/>
  <c r="V66" i="1"/>
  <c r="AA63" i="1"/>
  <c r="J63" i="4"/>
  <c r="K58" i="4"/>
  <c r="AB58" i="1"/>
  <c r="W53" i="1"/>
  <c r="A43" i="4"/>
  <c r="R43" i="1"/>
  <c r="U40" i="1"/>
  <c r="K22" i="4"/>
  <c r="AB37" i="1"/>
  <c r="K16" i="4"/>
  <c r="AB27" i="1"/>
  <c r="Y22" i="1"/>
  <c r="V16" i="1"/>
  <c r="V13" i="1"/>
  <c r="X10" i="1"/>
  <c r="L3" i="4"/>
  <c r="AC3" i="1"/>
  <c r="U66" i="1"/>
  <c r="J60" i="4"/>
  <c r="AA60" i="1"/>
  <c r="J58" i="4"/>
  <c r="AA58" i="1"/>
  <c r="V53" i="1"/>
  <c r="Y50" i="1"/>
  <c r="T40" i="1"/>
  <c r="AA37" i="1"/>
  <c r="J22" i="4"/>
  <c r="AE34" i="1"/>
  <c r="N21" i="4"/>
  <c r="R32" i="1"/>
  <c r="A32" i="4"/>
  <c r="Y29" i="1"/>
  <c r="U13" i="1"/>
  <c r="W10" i="1"/>
  <c r="R7" i="1"/>
  <c r="A7" i="4"/>
  <c r="AB3" i="1"/>
  <c r="K3" i="4"/>
  <c r="Y63" i="1"/>
  <c r="A56" i="4"/>
  <c r="R56" i="1"/>
  <c r="U53" i="1"/>
  <c r="X50" i="1"/>
  <c r="N47" i="4"/>
  <c r="AE47" i="1"/>
  <c r="V37" i="1"/>
  <c r="AD34" i="1"/>
  <c r="M21" i="4"/>
  <c r="M59" i="4"/>
  <c r="AD26" i="1"/>
  <c r="J8" i="4"/>
  <c r="AA21" i="1"/>
  <c r="N39" i="4"/>
  <c r="AE18" i="1"/>
  <c r="M15" i="4"/>
  <c r="AD15" i="1"/>
  <c r="T13" i="1"/>
  <c r="V10" i="1"/>
  <c r="J3" i="4"/>
  <c r="AA3" i="1"/>
  <c r="AD65" i="1"/>
  <c r="W63" i="1"/>
  <c r="Y60" i="1"/>
  <c r="W50" i="1"/>
  <c r="X47" i="1"/>
  <c r="N44" i="4"/>
  <c r="AE44" i="1"/>
  <c r="A42" i="4"/>
  <c r="R42" i="1"/>
  <c r="U39" i="1"/>
  <c r="U37" i="1"/>
  <c r="AC34" i="1"/>
  <c r="L21" i="4"/>
  <c r="N19" i="4"/>
  <c r="AE31" i="1"/>
  <c r="R29" i="1"/>
  <c r="A29" i="4"/>
  <c r="AC26" i="1"/>
  <c r="L59" i="4"/>
  <c r="N18" i="4"/>
  <c r="AE23" i="1"/>
  <c r="AC18" i="1"/>
  <c r="L39" i="4"/>
  <c r="L15" i="4"/>
  <c r="AC15" i="1"/>
  <c r="U10" i="1"/>
  <c r="AF6" i="1"/>
  <c r="AG6" i="1" s="1"/>
  <c r="T3" i="1"/>
  <c r="AA27" i="1"/>
  <c r="J16" i="4"/>
  <c r="AA23" i="1"/>
  <c r="J18" i="4"/>
  <c r="L40" i="4"/>
  <c r="AC19" i="1"/>
  <c r="AF4" i="1"/>
  <c r="AG4" i="1" s="1"/>
  <c r="AA65" i="1"/>
  <c r="AD62" i="1"/>
  <c r="M62" i="4"/>
  <c r="T57" i="1"/>
  <c r="U57" i="1"/>
  <c r="V54" i="1"/>
  <c r="X51" i="1"/>
  <c r="Y48" i="1"/>
  <c r="V44" i="1"/>
  <c r="V41" i="1"/>
  <c r="A40" i="4"/>
  <c r="R40" i="1"/>
  <c r="K41" i="4"/>
  <c r="AB38" i="1"/>
  <c r="AC28" i="1"/>
  <c r="L13" i="4"/>
  <c r="A26" i="4"/>
  <c r="R26" i="1"/>
  <c r="W22" i="1"/>
  <c r="W18" i="1"/>
  <c r="Y15" i="1"/>
  <c r="U11" i="1"/>
  <c r="J37" i="4"/>
  <c r="AA9" i="1"/>
  <c r="L4" i="4"/>
  <c r="AC4" i="1"/>
  <c r="U44" i="1"/>
  <c r="AE42" i="1"/>
  <c r="N42" i="4"/>
  <c r="AA38" i="1"/>
  <c r="J41" i="4"/>
  <c r="AC35" i="1"/>
  <c r="L12" i="4"/>
  <c r="Y31" i="1"/>
  <c r="W27" i="1"/>
  <c r="K24" i="4"/>
  <c r="AB24" i="1"/>
  <c r="M28" i="4"/>
  <c r="AD20" i="1"/>
  <c r="V18" i="1"/>
  <c r="M26" i="4"/>
  <c r="AD13" i="1"/>
  <c r="AA4" i="1"/>
  <c r="J4" i="4"/>
  <c r="T64" i="1"/>
  <c r="U64" i="1"/>
  <c r="V61" i="1"/>
  <c r="R57" i="1"/>
  <c r="A57" i="4"/>
  <c r="R47" i="1"/>
  <c r="A47" i="4"/>
  <c r="X45" i="1"/>
  <c r="AD42" i="1"/>
  <c r="M42" i="4"/>
  <c r="AF36" i="1"/>
  <c r="AG36" i="1" s="1"/>
  <c r="A34" i="4"/>
  <c r="R34" i="1"/>
  <c r="T31" i="1"/>
  <c r="X23" i="1"/>
  <c r="AA16" i="1"/>
  <c r="J27" i="4"/>
  <c r="J62" i="4"/>
  <c r="AA62" i="1"/>
  <c r="T61" i="1"/>
  <c r="U61" i="1"/>
  <c r="J23" i="4"/>
  <c r="AA59" i="1"/>
  <c r="W58" i="1"/>
  <c r="W55" i="1"/>
  <c r="Y52" i="1"/>
  <c r="U51" i="1"/>
  <c r="N49" i="4"/>
  <c r="AE49" i="1"/>
  <c r="T48" i="1"/>
  <c r="U48" i="1"/>
  <c r="W45" i="1"/>
  <c r="AC42" i="1"/>
  <c r="L42" i="4"/>
  <c r="U38" i="1"/>
  <c r="AE36" i="1"/>
  <c r="N36" i="4"/>
  <c r="AA35" i="1"/>
  <c r="J12" i="4"/>
  <c r="AA32" i="1"/>
  <c r="J32" i="4"/>
  <c r="AC29" i="1"/>
  <c r="L30" i="4"/>
  <c r="A27" i="4"/>
  <c r="R27" i="1"/>
  <c r="AE25" i="1"/>
  <c r="N29" i="4"/>
  <c r="W23" i="1"/>
  <c r="N8" i="4"/>
  <c r="AE21" i="1"/>
  <c r="AB20" i="1"/>
  <c r="K28" i="4"/>
  <c r="W19" i="1"/>
  <c r="N54" i="4"/>
  <c r="AE17" i="1"/>
  <c r="T15" i="1"/>
  <c r="U15" i="1"/>
  <c r="AB13" i="1"/>
  <c r="K26" i="4"/>
  <c r="V12" i="1"/>
  <c r="K10" i="4"/>
  <c r="AB10" i="1"/>
  <c r="X9" i="1"/>
  <c r="AA7" i="1"/>
  <c r="J7" i="4"/>
  <c r="A6" i="4"/>
  <c r="R6" i="1"/>
  <c r="U4" i="1"/>
  <c r="AC2" i="1"/>
  <c r="L2" i="4"/>
  <c r="W65" i="1"/>
  <c r="M63" i="4"/>
  <c r="AD63" i="1"/>
  <c r="Y62" i="1"/>
  <c r="V58" i="1"/>
  <c r="AB56" i="1"/>
  <c r="K56" i="4"/>
  <c r="V55" i="1"/>
  <c r="R54" i="1"/>
  <c r="A54" i="4"/>
  <c r="T52" i="1"/>
  <c r="X52" i="1"/>
  <c r="V45" i="1"/>
  <c r="AF43" i="1"/>
  <c r="AG43" i="1" s="1"/>
  <c r="W42" i="1"/>
  <c r="A41" i="4"/>
  <c r="R41" i="1"/>
  <c r="L31" i="4"/>
  <c r="AC39" i="1"/>
  <c r="T38" i="1"/>
  <c r="M36" i="4"/>
  <c r="AD36" i="1"/>
  <c r="AB29" i="1"/>
  <c r="K30" i="4"/>
  <c r="Y28" i="1"/>
  <c r="L29" i="4"/>
  <c r="AC25" i="1"/>
  <c r="Y24" i="1"/>
  <c r="AD21" i="1"/>
  <c r="M8" i="4"/>
  <c r="J28" i="4"/>
  <c r="AA20" i="1"/>
  <c r="V19" i="1"/>
  <c r="L54" i="4"/>
  <c r="AC17" i="1"/>
  <c r="Y16" i="1"/>
  <c r="J26" i="4"/>
  <c r="AA13" i="1"/>
  <c r="U12" i="1"/>
  <c r="AA10" i="1"/>
  <c r="J10" i="4"/>
  <c r="W9" i="1"/>
  <c r="T4" i="1"/>
  <c r="K2" i="4"/>
  <c r="AB2" i="1"/>
  <c r="X15" i="1"/>
  <c r="T65" i="1"/>
  <c r="X65" i="1"/>
  <c r="U58" i="1"/>
  <c r="L36" i="4"/>
  <c r="AC36" i="1"/>
  <c r="T10" i="1"/>
  <c r="V9" i="1"/>
  <c r="W7" i="1"/>
  <c r="J2" i="4"/>
  <c r="AE24" i="1"/>
  <c r="N24" i="4"/>
  <c r="X22" i="1"/>
  <c r="X18" i="1"/>
  <c r="AD16" i="1"/>
  <c r="M27" i="4"/>
  <c r="T14" i="1"/>
  <c r="J38" i="4"/>
  <c r="AA12" i="1"/>
  <c r="V11" i="1"/>
  <c r="K37" i="4"/>
  <c r="AB9" i="1"/>
  <c r="U8" i="1"/>
  <c r="V6" i="1"/>
  <c r="AE66" i="1"/>
  <c r="X64" i="1"/>
  <c r="X61" i="1"/>
  <c r="K55" i="4"/>
  <c r="AB55" i="1"/>
  <c r="R53" i="1"/>
  <c r="A53" i="4"/>
  <c r="A50" i="4"/>
  <c r="R50" i="1"/>
  <c r="T47" i="1"/>
  <c r="N45" i="4"/>
  <c r="AE45" i="1"/>
  <c r="AD35" i="1"/>
  <c r="M12" i="4"/>
  <c r="AF32" i="1"/>
  <c r="AG32" i="1" s="1"/>
  <c r="AF29" i="1"/>
  <c r="AG29" i="1" s="1"/>
  <c r="Y27" i="1"/>
  <c r="AC24" i="1"/>
  <c r="L24" i="4"/>
  <c r="AE20" i="1"/>
  <c r="N28" i="4"/>
  <c r="J40" i="4"/>
  <c r="AA19" i="1"/>
  <c r="L27" i="4"/>
  <c r="AC16" i="1"/>
  <c r="Y12" i="1"/>
  <c r="U6" i="1"/>
  <c r="AC66" i="1"/>
  <c r="W64" i="1"/>
  <c r="L62" i="4"/>
  <c r="AC62" i="1"/>
  <c r="W61" i="1"/>
  <c r="Y58" i="1"/>
  <c r="AA55" i="1"/>
  <c r="J55" i="4"/>
  <c r="T54" i="1"/>
  <c r="U54" i="1"/>
  <c r="W51" i="1"/>
  <c r="AF49" i="1"/>
  <c r="AG49" i="1" s="1"/>
  <c r="W48" i="1"/>
  <c r="L45" i="4"/>
  <c r="AC45" i="1"/>
  <c r="U41" i="1"/>
  <c r="AE32" i="1"/>
  <c r="N32" i="4"/>
  <c r="N30" i="4"/>
  <c r="AE29" i="1"/>
  <c r="AB28" i="1"/>
  <c r="K13" i="4"/>
  <c r="AF25" i="1"/>
  <c r="AG25" i="1" s="1"/>
  <c r="Y23" i="1"/>
  <c r="Y19" i="1"/>
  <c r="AB16" i="1"/>
  <c r="K27" i="4"/>
  <c r="X12" i="1"/>
  <c r="R8" i="1"/>
  <c r="A8" i="4"/>
  <c r="T6" i="1"/>
  <c r="N2" i="4"/>
  <c r="AE2" i="1"/>
  <c r="AB66" i="1"/>
  <c r="Y65" i="1"/>
  <c r="K62" i="4"/>
  <c r="AB62" i="1"/>
  <c r="AB59" i="1"/>
  <c r="K23" i="4"/>
  <c r="X58" i="1"/>
  <c r="Y55" i="1"/>
  <c r="T51" i="1"/>
  <c r="V51" i="1"/>
  <c r="V48" i="1"/>
  <c r="T41" i="1"/>
  <c r="V38" i="1"/>
  <c r="AB35" i="1"/>
  <c r="K12" i="4"/>
  <c r="L32" i="4"/>
  <c r="AC32" i="1"/>
  <c r="M30" i="4"/>
  <c r="AD29" i="1"/>
  <c r="J13" i="4"/>
  <c r="AA28" i="1"/>
  <c r="J24" i="4"/>
  <c r="AA24" i="1"/>
  <c r="AC20" i="1"/>
  <c r="L28" i="4"/>
  <c r="X19" i="1"/>
  <c r="W15" i="1"/>
  <c r="AC13" i="1"/>
  <c r="L26" i="4"/>
  <c r="W12" i="1"/>
  <c r="Y9" i="1"/>
  <c r="M2" i="4"/>
  <c r="AD2" i="1"/>
  <c r="AA66" i="1"/>
  <c r="N31" i="4"/>
  <c r="AE39" i="1"/>
  <c r="Y66" i="1"/>
  <c r="V65" i="1"/>
  <c r="AC63" i="1"/>
  <c r="L63" i="4"/>
  <c r="W62" i="1"/>
  <c r="Y59" i="1"/>
  <c r="AA56" i="1"/>
  <c r="J56" i="4"/>
  <c r="U55" i="1"/>
  <c r="W52" i="1"/>
  <c r="Y49" i="1"/>
  <c r="AE46" i="1"/>
  <c r="N46" i="4"/>
  <c r="U45" i="1"/>
  <c r="AE43" i="1"/>
  <c r="N43" i="4"/>
  <c r="U42" i="1"/>
  <c r="AA39" i="1"/>
  <c r="J31" i="4"/>
  <c r="N33" i="4"/>
  <c r="AE33" i="1"/>
  <c r="Y32" i="1"/>
  <c r="N5" i="4"/>
  <c r="AE30" i="1"/>
  <c r="J30" i="4"/>
  <c r="AA29" i="1"/>
  <c r="AF26" i="1"/>
  <c r="AG26" i="1" s="1"/>
  <c r="J29" i="4"/>
  <c r="AA25" i="1"/>
  <c r="X24" i="1"/>
  <c r="AC21" i="1"/>
  <c r="L8" i="4"/>
  <c r="Y20" i="1"/>
  <c r="U19" i="1"/>
  <c r="K54" i="4"/>
  <c r="AB17" i="1"/>
  <c r="X16" i="1"/>
  <c r="AD14" i="1"/>
  <c r="M9" i="4"/>
  <c r="Y13" i="1"/>
  <c r="T12" i="1"/>
  <c r="AF5" i="1"/>
  <c r="AG5" i="1" s="1"/>
  <c r="X66" i="1"/>
  <c r="U65" i="1"/>
  <c r="K63" i="4"/>
  <c r="AB63" i="1"/>
  <c r="V62" i="1"/>
  <c r="L60" i="4"/>
  <c r="AC60" i="1"/>
  <c r="X59" i="1"/>
  <c r="T55" i="1"/>
  <c r="V52" i="1"/>
  <c r="W49" i="1"/>
  <c r="R48" i="1"/>
  <c r="A48" i="4"/>
  <c r="X46" i="1"/>
  <c r="T45" i="1"/>
  <c r="M43" i="4"/>
  <c r="AD43" i="1"/>
  <c r="T42" i="1"/>
  <c r="AF40" i="1"/>
  <c r="AG40" i="1" s="1"/>
  <c r="V39" i="1"/>
  <c r="AB36" i="1"/>
  <c r="K36" i="4"/>
  <c r="R35" i="1"/>
  <c r="A35" i="4"/>
  <c r="AD33" i="1"/>
  <c r="M33" i="4"/>
  <c r="T32" i="1"/>
  <c r="AD30" i="1"/>
  <c r="M5" i="4"/>
  <c r="R28" i="1"/>
  <c r="A28" i="4"/>
  <c r="AE26" i="1"/>
  <c r="N59" i="4"/>
  <c r="W24" i="1"/>
  <c r="AE22" i="1"/>
  <c r="N20" i="4"/>
  <c r="K8" i="4"/>
  <c r="AB21" i="1"/>
  <c r="W20" i="1"/>
  <c r="AA17" i="1"/>
  <c r="J54" i="4"/>
  <c r="W16" i="1"/>
  <c r="L9" i="4"/>
  <c r="AC14" i="1"/>
  <c r="W13" i="1"/>
  <c r="Y10" i="1"/>
  <c r="U9" i="1"/>
  <c r="U7" i="1"/>
  <c r="N25" i="4"/>
  <c r="AE5" i="1"/>
  <c r="A4" i="4"/>
  <c r="R4" i="1"/>
  <c r="AF7" i="1"/>
  <c r="AG7" i="1" s="1"/>
  <c r="AE6" i="1"/>
  <c r="N6" i="4"/>
  <c r="M25" i="4"/>
  <c r="AD5" i="1"/>
  <c r="Y2" i="1"/>
  <c r="T66" i="1"/>
  <c r="A63" i="4"/>
  <c r="R63" i="1"/>
  <c r="R61" i="1"/>
  <c r="A61" i="4"/>
  <c r="AF56" i="1"/>
  <c r="AG56" i="1" s="1"/>
  <c r="AF53" i="1"/>
  <c r="AG53" i="1" s="1"/>
  <c r="N52" i="4"/>
  <c r="AE52" i="1"/>
  <c r="AD50" i="1"/>
  <c r="M11" i="4"/>
  <c r="AD49" i="1"/>
  <c r="M49" i="4"/>
  <c r="L46" i="4"/>
  <c r="AC46" i="1"/>
  <c r="AB44" i="1"/>
  <c r="K44" i="4"/>
  <c r="AB42" i="1"/>
  <c r="K42" i="4"/>
  <c r="J14" i="4"/>
  <c r="AA40" i="1"/>
  <c r="X31" i="1"/>
  <c r="X29" i="1"/>
  <c r="V27" i="1"/>
  <c r="V25" i="1"/>
  <c r="V23" i="1"/>
  <c r="T19" i="1"/>
  <c r="T17" i="1"/>
  <c r="A15" i="4"/>
  <c r="R15" i="1"/>
  <c r="R14" i="1"/>
  <c r="A14" i="4"/>
  <c r="A13" i="4"/>
  <c r="R13" i="1"/>
  <c r="A12" i="4"/>
  <c r="R12" i="1"/>
  <c r="AF8" i="1"/>
  <c r="AG8" i="1" s="1"/>
  <c r="N7" i="4"/>
  <c r="AE7" i="1"/>
  <c r="M6" i="4"/>
  <c r="AD6" i="1"/>
  <c r="AA5" i="1"/>
  <c r="J25" i="4"/>
  <c r="X2" i="1"/>
  <c r="AE58" i="1"/>
  <c r="N58" i="4"/>
  <c r="N57" i="4"/>
  <c r="AE57" i="1"/>
  <c r="N56" i="4"/>
  <c r="AE56" i="1"/>
  <c r="N55" i="4"/>
  <c r="AE55" i="1"/>
  <c r="N50" i="4"/>
  <c r="AE54" i="1"/>
  <c r="N53" i="4"/>
  <c r="AE53" i="1"/>
  <c r="AC52" i="1"/>
  <c r="L52" i="4"/>
  <c r="AC51" i="1"/>
  <c r="L51" i="4"/>
  <c r="AC50" i="1"/>
  <c r="L11" i="4"/>
  <c r="L49" i="4"/>
  <c r="AC49" i="1"/>
  <c r="L48" i="4"/>
  <c r="AC48" i="1"/>
  <c r="L47" i="4"/>
  <c r="AC47" i="1"/>
  <c r="J46" i="4"/>
  <c r="AA46" i="1"/>
  <c r="J45" i="4"/>
  <c r="AA45" i="1"/>
  <c r="J44" i="4"/>
  <c r="AA44" i="1"/>
  <c r="J43" i="4"/>
  <c r="AA43" i="1"/>
  <c r="J42" i="4"/>
  <c r="AA42" i="1"/>
  <c r="J34" i="4"/>
  <c r="AA41" i="1"/>
  <c r="Y40" i="1"/>
  <c r="Y39" i="1"/>
  <c r="Y38" i="1"/>
  <c r="Y37" i="1"/>
  <c r="Y36" i="1"/>
  <c r="Y35" i="1"/>
  <c r="W34" i="1"/>
  <c r="W33" i="1"/>
  <c r="W32" i="1"/>
  <c r="W31" i="1"/>
  <c r="W30" i="1"/>
  <c r="W29" i="1"/>
  <c r="U28" i="1"/>
  <c r="U27" i="1"/>
  <c r="U26" i="1"/>
  <c r="U25" i="1"/>
  <c r="U24" i="1"/>
  <c r="U23" i="1"/>
  <c r="N37" i="4"/>
  <c r="AE9" i="1"/>
  <c r="AE8" i="1"/>
  <c r="N35" i="4"/>
  <c r="AD7" i="1"/>
  <c r="M7" i="4"/>
  <c r="AC6" i="1"/>
  <c r="L6" i="4"/>
  <c r="Y5" i="1"/>
  <c r="X4" i="1"/>
  <c r="W3" i="1"/>
  <c r="W2" i="1"/>
  <c r="A64" i="4"/>
  <c r="R64" i="1"/>
  <c r="AF55" i="1"/>
  <c r="AG55" i="1" s="1"/>
  <c r="AD47" i="1"/>
  <c r="M47" i="4"/>
  <c r="K34" i="4"/>
  <c r="AB41" i="1"/>
  <c r="X33" i="1"/>
  <c r="Y4" i="1"/>
  <c r="AF64" i="1"/>
  <c r="AG64" i="1" s="1"/>
  <c r="AF63" i="1"/>
  <c r="AG63" i="1" s="1"/>
  <c r="AF62" i="1"/>
  <c r="AG62" i="1" s="1"/>
  <c r="AF61" i="1"/>
  <c r="AG61" i="1" s="1"/>
  <c r="AF60" i="1"/>
  <c r="AG60" i="1" s="1"/>
  <c r="N23" i="4"/>
  <c r="AE59" i="1"/>
  <c r="AD58" i="1"/>
  <c r="M58" i="4"/>
  <c r="AD57" i="1"/>
  <c r="M57" i="4"/>
  <c r="AD56" i="1"/>
  <c r="M56" i="4"/>
  <c r="AD55" i="1"/>
  <c r="M55" i="4"/>
  <c r="AD54" i="1"/>
  <c r="M50" i="4"/>
  <c r="L53" i="4"/>
  <c r="AC53" i="1"/>
  <c r="AB52" i="1"/>
  <c r="K52" i="4"/>
  <c r="K51" i="4"/>
  <c r="AB51" i="1"/>
  <c r="AB50" i="1"/>
  <c r="K11" i="4"/>
  <c r="K49" i="4"/>
  <c r="AB49" i="1"/>
  <c r="AB48" i="1"/>
  <c r="K48" i="4"/>
  <c r="J47" i="4"/>
  <c r="AA47" i="1"/>
  <c r="Y41" i="1"/>
  <c r="X40" i="1"/>
  <c r="X39" i="1"/>
  <c r="X38" i="1"/>
  <c r="X37" i="1"/>
  <c r="X36" i="1"/>
  <c r="W35" i="1"/>
  <c r="T34" i="1"/>
  <c r="V34" i="1"/>
  <c r="V33" i="1"/>
  <c r="V32" i="1"/>
  <c r="V31" i="1"/>
  <c r="V30" i="1"/>
  <c r="U29" i="1"/>
  <c r="T28" i="1"/>
  <c r="T27" i="1"/>
  <c r="T26" i="1"/>
  <c r="T25" i="1"/>
  <c r="T24" i="1"/>
  <c r="R22" i="1"/>
  <c r="A22" i="4"/>
  <c r="R21" i="1"/>
  <c r="A21" i="4"/>
  <c r="R20" i="1"/>
  <c r="A20" i="4"/>
  <c r="R19" i="1"/>
  <c r="A19" i="4"/>
  <c r="A18" i="4"/>
  <c r="R18" i="1"/>
  <c r="AF14" i="1"/>
  <c r="AG14" i="1" s="1"/>
  <c r="AF13" i="1"/>
  <c r="AG13" i="1" s="1"/>
  <c r="N10" i="4"/>
  <c r="AE10" i="1"/>
  <c r="M37" i="4"/>
  <c r="AD9" i="1"/>
  <c r="M35" i="4"/>
  <c r="AD8" i="1"/>
  <c r="AC7" i="1"/>
  <c r="L7" i="4"/>
  <c r="AB6" i="1"/>
  <c r="K6" i="4"/>
  <c r="X5" i="1"/>
  <c r="W4" i="1"/>
  <c r="V3" i="1"/>
  <c r="V2" i="1"/>
  <c r="T18" i="1"/>
  <c r="U18" i="1"/>
  <c r="U17" i="1"/>
  <c r="U16" i="1"/>
  <c r="Y3" i="1"/>
  <c r="R62" i="1"/>
  <c r="A62" i="4"/>
  <c r="R60" i="1"/>
  <c r="A60" i="4"/>
  <c r="AF57" i="1"/>
  <c r="AG57" i="1" s="1"/>
  <c r="AF54" i="1"/>
  <c r="AG54" i="1" s="1"/>
  <c r="M51" i="4"/>
  <c r="AD51" i="1"/>
  <c r="AD48" i="1"/>
  <c r="M48" i="4"/>
  <c r="K45" i="4"/>
  <c r="AB45" i="1"/>
  <c r="AB43" i="1"/>
  <c r="K43" i="4"/>
  <c r="Y34" i="1"/>
  <c r="X32" i="1"/>
  <c r="X30" i="1"/>
  <c r="W28" i="1"/>
  <c r="V26" i="1"/>
  <c r="V24" i="1"/>
  <c r="T22" i="1"/>
  <c r="U22" i="1"/>
  <c r="T20" i="1"/>
  <c r="R11" i="1"/>
  <c r="A11" i="4"/>
  <c r="X3" i="1"/>
  <c r="AE65" i="1"/>
  <c r="AE64" i="1"/>
  <c r="N63" i="4"/>
  <c r="AE63" i="1"/>
  <c r="N62" i="4"/>
  <c r="AE62" i="1"/>
  <c r="N61" i="4"/>
  <c r="AE61" i="1"/>
  <c r="AE60" i="1"/>
  <c r="N60" i="4"/>
  <c r="L23" i="4"/>
  <c r="AC59" i="1"/>
  <c r="L58" i="4"/>
  <c r="AC58" i="1"/>
  <c r="L57" i="4"/>
  <c r="AC57" i="1"/>
  <c r="AC56" i="1"/>
  <c r="L56" i="4"/>
  <c r="AC55" i="1"/>
  <c r="L55" i="4"/>
  <c r="L50" i="4"/>
  <c r="AC54" i="1"/>
  <c r="J53" i="4"/>
  <c r="AA53" i="1"/>
  <c r="J52" i="4"/>
  <c r="AA52" i="1"/>
  <c r="AA51" i="1"/>
  <c r="J51" i="4"/>
  <c r="AA50" i="1"/>
  <c r="J11" i="4"/>
  <c r="AA49" i="1"/>
  <c r="J49" i="4"/>
  <c r="J48" i="4"/>
  <c r="AA48" i="1"/>
  <c r="Y47" i="1"/>
  <c r="Y46" i="1"/>
  <c r="Y45" i="1"/>
  <c r="Y44" i="1"/>
  <c r="Y43" i="1"/>
  <c r="Y42" i="1"/>
  <c r="W41" i="1"/>
  <c r="W40" i="1"/>
  <c r="W39" i="1"/>
  <c r="W38" i="1"/>
  <c r="W37" i="1"/>
  <c r="W36" i="1"/>
  <c r="T35" i="1"/>
  <c r="U35" i="1"/>
  <c r="U34" i="1"/>
  <c r="U33" i="1"/>
  <c r="U32" i="1"/>
  <c r="U31" i="1"/>
  <c r="U30" i="1"/>
  <c r="AF22" i="1"/>
  <c r="AG22" i="1" s="1"/>
  <c r="AF19" i="1"/>
  <c r="AG19" i="1" s="1"/>
  <c r="AF18" i="1"/>
  <c r="AG18" i="1" s="1"/>
  <c r="AE16" i="1"/>
  <c r="N27" i="4"/>
  <c r="N15" i="4"/>
  <c r="AE15" i="1"/>
  <c r="N9" i="4"/>
  <c r="AE14" i="1"/>
  <c r="N26" i="4"/>
  <c r="AE13" i="1"/>
  <c r="N38" i="4"/>
  <c r="AE12" i="1"/>
  <c r="AE11" i="1"/>
  <c r="N17" i="4"/>
  <c r="AC10" i="1"/>
  <c r="L10" i="4"/>
  <c r="L37" i="4"/>
  <c r="AC9" i="1"/>
  <c r="L35" i="4"/>
  <c r="AC8" i="1"/>
  <c r="AB7" i="1"/>
  <c r="K7" i="4"/>
  <c r="Y6" i="1"/>
  <c r="W5" i="1"/>
  <c r="V4" i="1"/>
  <c r="U3" i="1"/>
  <c r="W8" i="1"/>
  <c r="Y7" i="1"/>
  <c r="AA6" i="1"/>
  <c r="J6" i="4"/>
  <c r="L25" i="4"/>
  <c r="AC5" i="1"/>
  <c r="AE4" i="1"/>
  <c r="N4" i="4"/>
  <c r="AF66" i="1"/>
  <c r="AG66" i="1" s="1"/>
  <c r="A66" i="4"/>
  <c r="R66" i="1"/>
  <c r="V64" i="1"/>
  <c r="X63" i="1"/>
  <c r="AB61" i="1"/>
  <c r="K61" i="4"/>
  <c r="AD60" i="1"/>
  <c r="M60" i="4"/>
  <c r="R59" i="1"/>
  <c r="A59" i="4"/>
  <c r="V57" i="1"/>
  <c r="X56" i="1"/>
  <c r="AB54" i="1"/>
  <c r="K50" i="4"/>
  <c r="M53" i="4"/>
  <c r="AD53" i="1"/>
  <c r="AF52" i="1"/>
  <c r="AG52" i="1" s="1"/>
  <c r="R52" i="1"/>
  <c r="A52" i="4"/>
  <c r="V50" i="1"/>
  <c r="X49" i="1"/>
  <c r="AB47" i="1"/>
  <c r="K47" i="4"/>
  <c r="AD46" i="1"/>
  <c r="M46" i="4"/>
  <c r="AF45" i="1"/>
  <c r="AG45" i="1" s="1"/>
  <c r="R45" i="1"/>
  <c r="A45" i="4"/>
  <c r="T44" i="1"/>
  <c r="V43" i="1"/>
  <c r="X42" i="1"/>
  <c r="K14" i="4"/>
  <c r="AB40" i="1"/>
  <c r="M31" i="4"/>
  <c r="AD39" i="1"/>
  <c r="AF38" i="1"/>
  <c r="AG38" i="1" s="1"/>
  <c r="A38" i="4"/>
  <c r="R38" i="1"/>
  <c r="T37" i="1"/>
  <c r="Z37" i="1" s="1"/>
  <c r="V36" i="1"/>
  <c r="X35" i="1"/>
  <c r="AB33" i="1"/>
  <c r="K33" i="4"/>
  <c r="AD32" i="1"/>
  <c r="M32" i="4"/>
  <c r="AF31" i="1"/>
  <c r="AG31" i="1" s="1"/>
  <c r="R31" i="1"/>
  <c r="A31" i="4"/>
  <c r="V29" i="1"/>
  <c r="X28" i="1"/>
  <c r="AB26" i="1"/>
  <c r="K59" i="4"/>
  <c r="AD25" i="1"/>
  <c r="M29" i="4"/>
  <c r="AF24" i="1"/>
  <c r="AG24" i="1" s="1"/>
  <c r="R24" i="1"/>
  <c r="A24" i="4"/>
  <c r="T23" i="1"/>
  <c r="V22" i="1"/>
  <c r="X21" i="1"/>
  <c r="K40" i="4"/>
  <c r="AB19" i="1"/>
  <c r="M39" i="4"/>
  <c r="AD18" i="1"/>
  <c r="R17" i="1"/>
  <c r="A17" i="4"/>
  <c r="T16" i="1"/>
  <c r="V15" i="1"/>
  <c r="X14" i="1"/>
  <c r="K38" i="4"/>
  <c r="AB12" i="1"/>
  <c r="M17" i="4"/>
  <c r="AD11" i="1"/>
  <c r="AF10" i="1"/>
  <c r="AG10" i="1" s="1"/>
  <c r="R10" i="1"/>
  <c r="A10" i="4"/>
  <c r="T9" i="1"/>
  <c r="V8" i="1"/>
  <c r="X7" i="1"/>
  <c r="AB5" i="1"/>
  <c r="K25" i="4"/>
  <c r="AD4" i="1"/>
  <c r="M4" i="4"/>
  <c r="R3" i="1"/>
  <c r="A3" i="4"/>
  <c r="AD66" i="1"/>
  <c r="A65" i="4"/>
  <c r="R65" i="1"/>
  <c r="V63" i="1"/>
  <c r="X62" i="1"/>
  <c r="AB60" i="1"/>
  <c r="K60" i="4"/>
  <c r="AD59" i="1"/>
  <c r="M23" i="4"/>
  <c r="A58" i="4"/>
  <c r="R58" i="1"/>
  <c r="V56" i="1"/>
  <c r="X55" i="1"/>
  <c r="K53" i="4"/>
  <c r="AB53" i="1"/>
  <c r="AD52" i="1"/>
  <c r="M52" i="4"/>
  <c r="AF51" i="1"/>
  <c r="AG51" i="1" s="1"/>
  <c r="A51" i="4"/>
  <c r="R51" i="1"/>
  <c r="T50" i="1"/>
  <c r="Z50" i="1" s="1"/>
  <c r="V49" i="1"/>
  <c r="X48" i="1"/>
  <c r="AB46" i="1"/>
  <c r="K46" i="4"/>
  <c r="M45" i="4"/>
  <c r="AD45" i="1"/>
  <c r="AF44" i="1"/>
  <c r="AG44" i="1" s="1"/>
  <c r="R44" i="1"/>
  <c r="A44" i="4"/>
  <c r="V42" i="1"/>
  <c r="X41" i="1"/>
  <c r="K31" i="4"/>
  <c r="AB39" i="1"/>
  <c r="AD38" i="1"/>
  <c r="M41" i="4"/>
  <c r="R37" i="1"/>
  <c r="A37" i="4"/>
  <c r="T36" i="1"/>
  <c r="V35" i="1"/>
  <c r="X34" i="1"/>
  <c r="K32" i="4"/>
  <c r="AB32" i="1"/>
  <c r="AD31" i="1"/>
  <c r="M19" i="4"/>
  <c r="A30" i="4"/>
  <c r="R30" i="1"/>
  <c r="T29" i="1"/>
  <c r="V28" i="1"/>
  <c r="X27" i="1"/>
  <c r="AB25" i="1"/>
  <c r="K29" i="4"/>
  <c r="AD24" i="1"/>
  <c r="M24" i="4"/>
  <c r="R23" i="1"/>
  <c r="A23" i="4"/>
  <c r="V21" i="1"/>
  <c r="X20" i="1"/>
  <c r="K39" i="4"/>
  <c r="AB18" i="1"/>
  <c r="AD17" i="1"/>
  <c r="M54" i="4"/>
  <c r="R16" i="1"/>
  <c r="A16" i="4"/>
  <c r="V14" i="1"/>
  <c r="X13" i="1"/>
  <c r="K17" i="4"/>
  <c r="AB11" i="1"/>
  <c r="AD10" i="1"/>
  <c r="M10" i="4"/>
  <c r="AF9" i="1"/>
  <c r="AG9" i="1" s="1"/>
  <c r="A9" i="4"/>
  <c r="R9" i="1"/>
  <c r="V7" i="1"/>
  <c r="X6" i="1"/>
  <c r="AB4" i="1"/>
  <c r="K4" i="4"/>
  <c r="M3" i="4"/>
  <c r="AD3" i="1"/>
  <c r="D14" i="3"/>
  <c r="D21" i="2"/>
  <c r="D5" i="2"/>
  <c r="D36" i="2"/>
  <c r="D3" i="2"/>
  <c r="D29" i="2"/>
  <c r="D12" i="2"/>
  <c r="D58" i="2"/>
  <c r="D55" i="2"/>
  <c r="D5" i="3"/>
  <c r="D38" i="2"/>
  <c r="D7" i="3"/>
  <c r="D63" i="2"/>
  <c r="D53" i="2"/>
  <c r="D32" i="2"/>
  <c r="D24" i="2"/>
  <c r="D6" i="2"/>
  <c r="D42" i="2"/>
  <c r="D43" i="2"/>
  <c r="D27" i="2"/>
  <c r="D37" i="2"/>
  <c r="D6" i="3"/>
  <c r="D20" i="2"/>
  <c r="D31" i="2"/>
  <c r="D13" i="2"/>
  <c r="D41" i="2"/>
  <c r="R2" i="1"/>
  <c r="D11" i="3"/>
  <c r="D46" i="2"/>
  <c r="D8" i="2"/>
  <c r="D45" i="2"/>
  <c r="D50" i="2"/>
  <c r="D33" i="2"/>
  <c r="D4" i="2"/>
  <c r="D17" i="3"/>
  <c r="D30" i="2"/>
  <c r="D56" i="2"/>
  <c r="D13" i="3"/>
  <c r="D10" i="2"/>
  <c r="D9" i="2"/>
  <c r="D23" i="2"/>
  <c r="D28" i="2"/>
  <c r="D15" i="2"/>
  <c r="D16" i="2"/>
  <c r="D34" i="2"/>
  <c r="D18" i="3"/>
  <c r="D39" i="2"/>
  <c r="D8" i="3"/>
  <c r="D19" i="2"/>
  <c r="D18" i="2"/>
  <c r="D7" i="2"/>
  <c r="A2" i="4"/>
  <c r="D3" i="3"/>
  <c r="D15" i="3"/>
  <c r="D17" i="2"/>
  <c r="D14" i="2"/>
  <c r="D35" i="2"/>
  <c r="D11" i="2"/>
  <c r="D26" i="2"/>
  <c r="D40" i="2"/>
  <c r="D4" i="3"/>
  <c r="D62" i="2"/>
  <c r="D9" i="3"/>
  <c r="D44" i="2"/>
  <c r="D47" i="2"/>
  <c r="D10" i="3"/>
  <c r="D12" i="3"/>
  <c r="D54" i="2"/>
  <c r="D49" i="2"/>
  <c r="D16" i="3"/>
  <c r="D2" i="3"/>
  <c r="D25" i="2"/>
  <c r="D59" i="2"/>
  <c r="D22" i="2"/>
  <c r="D64" i="2"/>
  <c r="D2" i="2"/>
  <c r="I33" i="4" l="1"/>
  <c r="Z31" i="1"/>
  <c r="I39" i="4"/>
  <c r="Z24" i="1"/>
  <c r="Z19" i="1"/>
  <c r="Z27" i="1"/>
  <c r="I20" i="4"/>
  <c r="I36" i="4"/>
  <c r="I11" i="4"/>
  <c r="I18" i="4"/>
  <c r="I27" i="4"/>
  <c r="Z44" i="1"/>
  <c r="Z28" i="1"/>
  <c r="Z32" i="1"/>
  <c r="I32" i="4"/>
  <c r="Z10" i="1"/>
  <c r="Z58" i="1"/>
  <c r="Z36" i="1"/>
  <c r="Z35" i="1"/>
  <c r="Z54" i="1"/>
  <c r="I13" i="4"/>
  <c r="I42" i="4"/>
  <c r="Z45" i="1"/>
  <c r="Z33" i="1"/>
  <c r="I9" i="4"/>
  <c r="I4" i="4"/>
  <c r="Z40" i="1"/>
  <c r="I62" i="4"/>
  <c r="I31" i="4"/>
  <c r="I29" i="4"/>
  <c r="Z12" i="1"/>
  <c r="I49" i="4"/>
  <c r="I10" i="4"/>
  <c r="I7" i="4"/>
  <c r="Z55" i="1"/>
  <c r="I25" i="4"/>
  <c r="Z14" i="1"/>
  <c r="Z46" i="1"/>
  <c r="Z52" i="1"/>
  <c r="Z21" i="1"/>
  <c r="I61" i="4"/>
  <c r="I56" i="4"/>
  <c r="Z65" i="1"/>
  <c r="I52" i="4"/>
  <c r="I43" i="4"/>
  <c r="I46" i="4"/>
  <c r="Z18" i="1"/>
  <c r="Z42" i="1"/>
  <c r="Z60" i="1"/>
  <c r="I35" i="4"/>
  <c r="I8" i="4"/>
  <c r="I26" i="4"/>
  <c r="I58" i="4"/>
  <c r="I17" i="4"/>
  <c r="I44" i="4"/>
  <c r="Z16" i="1"/>
  <c r="I14" i="4"/>
  <c r="Z11" i="1"/>
  <c r="I40" i="4"/>
  <c r="I34" i="4"/>
  <c r="I63" i="4"/>
  <c r="I47" i="4"/>
  <c r="Z47" i="1"/>
  <c r="Z30" i="1"/>
  <c r="Z25" i="1"/>
  <c r="Z66" i="1"/>
  <c r="Z6" i="1"/>
  <c r="Z57" i="1"/>
  <c r="Z13" i="1"/>
  <c r="I55" i="4"/>
  <c r="I59" i="4"/>
  <c r="I38" i="4"/>
  <c r="I30" i="4"/>
  <c r="I5" i="4"/>
  <c r="I50" i="4"/>
  <c r="Z29" i="1"/>
  <c r="Z34" i="1"/>
  <c r="Z61" i="1"/>
  <c r="Z43" i="1"/>
  <c r="I3" i="4"/>
  <c r="Z9" i="1"/>
  <c r="I53" i="4"/>
  <c r="I48" i="4"/>
  <c r="Z23" i="1"/>
  <c r="Z26" i="1"/>
  <c r="Z17" i="1"/>
  <c r="Z41" i="1"/>
  <c r="Z4" i="1"/>
  <c r="Z64" i="1"/>
  <c r="Z53" i="1"/>
  <c r="Z59" i="1"/>
  <c r="I45" i="4"/>
  <c r="I21" i="4"/>
  <c r="I16" i="4"/>
  <c r="Z3" i="1"/>
  <c r="Z5" i="1"/>
  <c r="I28" i="4"/>
  <c r="Z62" i="1"/>
  <c r="Z51" i="1"/>
  <c r="Z48" i="1"/>
  <c r="Z39" i="1"/>
  <c r="I23" i="4"/>
  <c r="Z15" i="1"/>
  <c r="I54" i="4"/>
  <c r="Z56" i="1"/>
  <c r="I19" i="4"/>
  <c r="I6" i="4"/>
  <c r="I24" i="4"/>
  <c r="Z7" i="1"/>
  <c r="I22" i="4"/>
  <c r="I51" i="4"/>
  <c r="Z20" i="1"/>
  <c r="Z8" i="1"/>
  <c r="I60" i="4"/>
  <c r="Z49" i="1"/>
  <c r="Z63" i="1"/>
  <c r="I15" i="4"/>
  <c r="Z2" i="1"/>
  <c r="Z22" i="1"/>
  <c r="Z38" i="1"/>
  <c r="I41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<sst xmlns="http://schemas.openxmlformats.org/spreadsheetml/2006/main" count="2550" uniqueCount="199">
  <si>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</si>
  <si>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</si>
  <si>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</si>
  <si>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</si>
  <si>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</si>
  <si>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</si>
  <si>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</si>
  <si>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</si>
  <si>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</si>
  <si>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</si>
  <si>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</si>
  <si>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</si>
  <si>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</si>
  <si>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</si>
  <si>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</si>
  <si>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Column1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</si>
  <si>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</si>
  <si>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</si>
  <si>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</si>
  <si>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</si>
  <si>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</si>
  <si>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</si>
  <si>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</si>
  <si>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</si>
  <si>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</si>
  <si>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</si>
  <si>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</si>
  <si>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</si>
  <si>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</si>
  <si>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</si>
  <si>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</si>
  <si>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</si>
  <si>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</si>
  <si>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</si>
  <si>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</si>
  <si>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</si>
  <si>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</si>
  <si>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</si>
  <si>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</si>
  <si>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</si>
  <si>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</si>
  <si>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</si>
  <si>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</si>
  <si>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</si>
  <si>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</si>
  <si>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</si>
  <si>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</si>
  <si>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</si>
  <si>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</si>
  <si>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</si>
  <si>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</si>
  <si>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</si>
  <si>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</si>
  <si>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</si>
  <si>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</si>
  <si>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Cyril Tagalog</t>
  </si>
  <si>
    <t>Dairenn Angel Adarne</t>
  </si>
  <si>
    <t>Dharlyn Grej Estillore</t>
  </si>
  <si>
    <t>11:00 - 22:00</t>
  </si>
  <si>
    <t>Eduardo Jacinto</t>
  </si>
  <si>
    <t>Elijah Jeremy Racca</t>
  </si>
  <si>
    <t>Eljhon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</si>
  <si>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</si>
  <si>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</si>
  <si>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</si>
  <si>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</si>
  <si>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</si>
  <si>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</si>
  <si>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</si>
  <si>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</si>
  <si>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</si>
  <si>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</si>
  <si>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</si>
  <si>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</si>
  <si>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</si>
  <si>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</si>
  <si>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</si>
  <si>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</si>
  <si>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</si>
  <si>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</si>
  <si>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</si>
  <si>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</si>
  <si>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</si>
  <si>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</si>
  <si>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</si>
  <si>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</si>
  <si>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</si>
  <si>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</si>
  <si>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</si>
  <si>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</si>
  <si>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</si>
  <si>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</si>
  <si>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</si>
  <si>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</si>
  <si>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</si>
  <si>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</si>
  <si>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</si>
  <si>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</si>
  <si>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</si>
  <si>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</si>
  <si>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</si>
  <si>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</si>
  <si>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</si>
  <si>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</si>
  <si>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</si>
  <si>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</si>
  <si>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</si>
  <si>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</si>
  <si>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</si>
  <si>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</si>
  <si>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</si>
  <si>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</si>
  <si>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22:00 - 09:00</t>
  </si>
  <si>
    <t>Mhar Anthony Juezan</t>
  </si>
  <si>
    <t>Mon-Tue-Wed</t>
  </si>
  <si>
    <t>Michelle Corbeta</t>
  </si>
  <si>
    <t>Pat Marlou Tanola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</si>
  <si>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</si>
  <si>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</si>
  <si>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</si>
  <si>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</si>
  <si>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</si>
  <si>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</si>
  <si>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</si>
  <si>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</si>
  <si>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</si>
  <si>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</si>
  <si>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</si>
  <si>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</si>
  <si>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</si>
  <si>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</si>
  <si>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Sean Gabriel Ramirez</t>
  </si>
  <si>
    <t>Shiela Mae Laroa</t>
  </si>
  <si>
    <t>William Nava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</si>
  <si>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</si>
  <si>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</si>
  <si>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</si>
  <si>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</si>
  <si>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</si>
  <si>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</si>
  <si>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</si>
  <si>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Shift EST</t>
  </si>
  <si>
    <t>Charmane Briones</t>
  </si>
  <si>
    <t>Ash Belarmino</t>
  </si>
  <si>
    <t>Wed - Thur - Sun</t>
  </si>
  <si>
    <t>Wed - Thur - Fri</t>
  </si>
  <si>
    <t>Cesthel Narciso</t>
  </si>
  <si>
    <t>Thu- Fri-Sat</t>
  </si>
  <si>
    <t>Eljohn Mar Cabalida</t>
  </si>
  <si>
    <t>08:30 - 19:30</t>
  </si>
  <si>
    <t>Erica Mae Villamor</t>
  </si>
  <si>
    <t>Jewel Lei Sara</t>
  </si>
  <si>
    <t xml:space="preserve">Michael Lajato </t>
  </si>
  <si>
    <t>Wiljen Keith Lim</t>
  </si>
  <si>
    <t>Shift</t>
  </si>
  <si>
    <t>20:30 - 07:30</t>
  </si>
  <si>
    <t>EST Date</t>
  </si>
  <si>
    <t>Reason</t>
  </si>
  <si>
    <t>Vacation Leave</t>
  </si>
  <si>
    <t>Maternity Leave</t>
  </si>
  <si>
    <t>Daemianne Ashley Belarmino</t>
  </si>
  <si>
    <t>Brenda Lyn Degracia</t>
  </si>
  <si>
    <t>Jhon Lloyd Camero 💬</t>
  </si>
  <si>
    <t>Ronald Balitos 💬</t>
  </si>
  <si>
    <t>Roel Gutay 💬</t>
  </si>
  <si>
    <t>Called Off</t>
  </si>
  <si>
    <t>Running Late (No ETA)</t>
  </si>
  <si>
    <t>Running Late (ETA : 17:00)</t>
  </si>
  <si>
    <t>Left Early</t>
  </si>
  <si>
    <t>Z New Hire 3</t>
  </si>
  <si>
    <t>7:00 - 18:00</t>
  </si>
  <si>
    <t>Tue - Thur - Fri</t>
  </si>
  <si>
    <t>Z New Hire 5</t>
  </si>
  <si>
    <t>8:00 - 19:00</t>
  </si>
  <si>
    <t>1:00 am - 12:00 pm</t>
  </si>
  <si>
    <t>1:00 pm - 12:00 am</t>
  </si>
  <si>
    <t>8:00 am - 7:00 pm</t>
  </si>
  <si>
    <t>7:30 am - 6:30 pm</t>
  </si>
  <si>
    <t>8:00 pm - 7:00 am</t>
  </si>
  <si>
    <t>9:00 am - 8:00 pm</t>
  </si>
  <si>
    <t>3:00 am - 2:00 pm</t>
  </si>
  <si>
    <t>7:00 pm - 6:00 am</t>
  </si>
  <si>
    <t>4:00 am - 3:00 pm</t>
  </si>
  <si>
    <t>11:00 am - 10:00 pm</t>
  </si>
  <si>
    <t>6:00 pm - 5:00 am</t>
  </si>
  <si>
    <t>6:00 am - 5:00 pm</t>
  </si>
  <si>
    <t>5:00 am - 4:00 pm</t>
  </si>
  <si>
    <t>10:00 am - 9:00 pm</t>
  </si>
  <si>
    <t>2:00 am - 1:00 pm</t>
  </si>
  <si>
    <t>10:00 pm - 9:00 am</t>
  </si>
  <si>
    <t>12:00 pm - 11:00 pm</t>
  </si>
  <si>
    <t>9:00 pm - 8:00 am</t>
  </si>
  <si>
    <t>12:00 am - 11:00 am</t>
  </si>
  <si>
    <t>10:30 pm - 9:30 am</t>
  </si>
  <si>
    <t>5:00 pm - 4:00 am</t>
  </si>
  <si>
    <t>6:30 pm - 5:30 am</t>
  </si>
  <si>
    <t>7:00 am - 6:00 pm</t>
  </si>
  <si>
    <t>11:00 pm - 10:00 am</t>
  </si>
  <si>
    <t>10:30 am - 9:30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</si>
</sst>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4" fillId="0" borderId="1" xfId="0" applyFont="1" applyBorder="1" applyAlignment="1">
      <alignment horizontal="center"/>
    </xf>
    <xf numFmtId="0" fontId="1" fillId="2" borderId="1" xfId="0" applyFont="1" applyFill="1" applyBorder="1"/>
    <xf numFmtId="0" fontId="6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64" fontId="6" fillId="3" borderId="4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0" fillId="4" borderId="0" xfId="0" applyFill="1"/>
    <xf numFmtId="20" fontId="0" fillId="0" borderId="0" xfId="0" applyNumberFormat="1"/>
    <xf numFmtId="0" fontId="0" fillId="0" borderId="6" xfId="0" applyBorder="1"/>
    <xf numFmtId="0" fontId="1" fillId="0" borderId="0" xfId="0" applyFont="1"/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" fillId="0" borderId="10" xfId="0" applyFont="1" applyBorder="1"/>
    <xf numFmtId="20" fontId="2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" fillId="7" borderId="10" xfId="0" applyFont="1" applyFill="1" applyBorder="1"/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0" fontId="2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1" fillId="6" borderId="10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20" fontId="0" fillId="6" borderId="1" xfId="0" applyNumberFormat="1" applyFill="1" applyBorder="1" applyAlignment="1">
      <alignment horizontal="center"/>
    </xf>
    <xf numFmtId="0" fontId="1" fillId="0" borderId="11" xfId="0" applyFont="1" applyBorder="1"/>
    <xf numFmtId="0" fontId="0" fillId="0" borderId="12" xfId="0" applyBorder="1" applyAlignment="1">
      <alignment horizontal="center"/>
    </xf>
    <xf numFmtId="18" fontId="0" fillId="0" borderId="0" xfId="0" applyNumberFormat="1"/>
    <xf numFmtId="0" fontId="5" fillId="8" borderId="13" xfId="0" applyFont="1" applyFill="1" applyBorder="1" applyAlignment="1">
      <alignment horizontal="center"/>
    </xf>
    <xf numFmtId="0" fontId="5" fillId="8" borderId="14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center"/>
    </xf>
    <xf numFmtId="0" fontId="7" fillId="5" borderId="0" xfId="0" applyFont="1" applyFill="1"/>
    <xf numFmtId="0" fontId="6" fillId="3" borderId="16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3" fillId="0" borderId="3" xfId="0" applyFont="1" applyBorder="1" applyAlignment="1">
      <alignment horizontal="center"/>
    </xf>
    <xf numFmtId="0" fontId="0" fillId="0" borderId="1" xfId="0" applyBorder="1"/>
    <xf numFmtId="0" fontId="7" fillId="0" borderId="1" xfId="0" applyFont="1" applyBorder="1"/>
    <xf numFmtId="0" fontId="1" fillId="0" borderId="17" xfId="0" applyFont="1" applyBorder="1"/>
    <xf numFmtId="0" fontId="1" fillId="0" borderId="12" xfId="0" applyFont="1" applyBorder="1"/>
    <xf numFmtId="0" fontId="1" fillId="0" borderId="8" xfId="0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20" fontId="2" fillId="0" borderId="3" xfId="0" applyNumberFormat="1" applyFont="1" applyBorder="1" applyAlignment="1">
      <alignment horizontal="center"/>
    </xf>
    <xf numFmtId="0" fontId="5" fillId="8" borderId="18" xfId="0" applyFont="1" applyFill="1" applyBorder="1"/>
    <xf numFmtId="0" fontId="1" fillId="0" borderId="0" xfId="0" applyFont="1" applyBorder="1"/>
    <xf numFmtId="0" fontId="5" fillId="8" borderId="1" xfId="0" applyFont="1" applyFill="1" applyBorder="1" applyAlignment="1">
      <alignment horizontal="center"/>
    </xf>
    <xf numFmtId="0" fontId="5" fillId="8" borderId="2" xfId="0" applyFont="1" applyFill="1" applyBorder="1" applyAlignment="1">
      <alignment horizontal="center"/>
    </xf>
  </cellXfs>
  <cellStyles count="1">
    <cellStyle name="Normal" xfId="0" builtinId="0"/>
  </cellStyles>
  <dxfs count="71"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3" formatCode="h:mm\ am/pm"/>
    </dxf>
    <dxf>
      <numFmt numFmtId="23" formatCode="h:mm\ am/pm"/>
    </dxf>
    <dxf>
      <numFmt numFmtId="23" formatCode="h:mm\ am/pm"/>
    </dxf>
    <dxf>
      <numFmt numFmtId="23" formatCode="h:mm\ am/pm"/>
    </dxf>
    <dxf>
      <numFmt numFmtId="0" formatCode="General"/>
    </dxf>
    <dxf>
      <numFmt numFmtId="23" formatCode="h:mm\ am/pm"/>
    </dxf>
    <dxf>
      <numFmt numFmtId="23" formatCode="h:mm\ am/pm"/>
    </dxf>
    <dxf>
      <numFmt numFmtId="23" formatCode="h:mm\ am/pm"/>
    </dxf>
    <dxf>
      <numFmt numFmtId="23" formatCode="h:mm\ am/pm"/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/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19C69DB-FE20-4054-9B76-22C6DDE61084}" name="Table8" displayName="Table8" ref="A1:P66" totalsRowShown="0" headerRowDxfId="3">
  <tableColumns count="16">
    <tableColumn id="1" xr3:uid="{7EEEB60E-8BB2-49D7-9B34-DCEB3C46C9C5}" name="Name"/>
    <tableColumn id="2" xr3:uid="{7F8370EE-2310-448B-9653-C6ACBCBE4ACF}" name="Monday"/>
    <tableColumn id="3" xr3:uid="{BD31F91B-27DA-4D49-8D6C-48E05B4437B4}" name="Tuesday"/>
    <tableColumn id="4" xr3:uid="{68FA55B3-EBC1-431A-A48D-07EF15B31B2B}" name="Wednesday"/>
    <tableColumn id="5" xr3:uid="{118AA02E-8D11-43F1-81BE-248D559EF978}" name="Thursday"/>
    <tableColumn id="6" xr3:uid="{8CF80ACD-93E2-486E-9AC5-CF89A6DC6B7B}" name="Friday"/>
    <tableColumn id="7" xr3:uid="{5BBA4C14-ACFC-43FB-BD45-4BF5C5A1207A}" name="Saturday"/>
    <tableColumn id="8" xr3:uid="{C347B919-D5EC-49E8-B1FB-6D0964ACEBA9}" name="Sunday"/>
    <tableColumn id="9" xr3:uid="{CD894956-8138-4204-95FE-CC070BB5B973}" name="Rest Day">
      <calculatedColumnFormula>_xlfn.TEXTJOIN(" - ",TRUE,
IF(B2="OFF","Mon",""),
IF(C2="OFF","Tue",""),
IF(D2="OFF","Wed",""),
IF(E2="OFF","Thu",""),
IF(F2="OFF","Fri",""),
IF(G2="OFF","Sat",""),
IF(H2="OFF","Sun",""))</calculatedColumnFormula>
    </tableColumn>
    <tableColumn id="10" xr3:uid="{D3117B11-EEF6-4B8E-979B-8EA5EA4AF450}" name="Break 1" dataDxfId="7"/>
    <tableColumn id="11" xr3:uid="{950E8531-E7DE-41B2-A5D1-C3F65DC9A011}" name="Break 2" dataDxfId="6"/>
    <tableColumn id="12" xr3:uid="{24930B95-33C4-4DE1-9B22-8B075315BB3E}" name="Lunch" dataDxfId="5"/>
    <tableColumn id="13" xr3:uid="{66587AF8-4C39-4654-92A9-C5810E0381BA}" name="Break 3" dataDxfId="4"/>
    <tableColumn id="14" xr3:uid="{3BFA2616-DA67-4CB0-803D-733C56F1703B}" name="Supervisor"/>
    <tableColumn id="15" xr3:uid="{C628E7A1-C2C2-494C-8A99-F8E548F932F2}" name="EST SHIFT"/>
    <tableColumn id="16" xr3:uid="{06B3CF80-0538-4BF9-A71B-9FD4AC6FC96E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4594A7-7657-4DAF-BD85-9BDEF0BEB1CF}" name="Table7" displayName="Table7" ref="A1:P66" totalsRowShown="0">
  <tableColumns count="16">
    <tableColumn id="1" xr3:uid="{A64FD69E-6AC3-4B87-AAB2-51CEAE76D2F5}" name="Name">
      <calculatedColumnFormula>Table3[[#This Row],[Name]]</calculatedColumnFormula>
    </tableColumn>
    <tableColumn id="2" xr3:uid="{4DA6DFFE-00DA-4FF7-9F55-B15947BBC0C4}" name="Monday">
      <calculatedColumnFormula>IFERROR(TEXT(TIMEVALUE(LEFT(Table3[[#This Row],[Monday]],5)),"h:mm AM/PM")&amp;" - "&amp;TEXT(TIMEVALUE(RIGHT(Table3[[#This Row],[Monday]],5)),"h:mm AM/PM"),"OFF")</calculatedColumnFormula>
    </tableColumn>
    <tableColumn id="3" xr3:uid="{C9781D8D-31FA-4E0B-9EA4-A32B55A40405}" name="Tuesday">
      <calculatedColumnFormula>IFERROR(TEXT(TIMEVALUE(LEFT(Table3[[#This Row],[Tuesday]],5)),"h:mm AM/PM")&amp;" - "&amp;TEXT(TIMEVALUE(RIGHT(Table3[[#This Row],[Tuesday]],5)),"h:mm AM/PM"),"OFF")</calculatedColumnFormula>
    </tableColumn>
    <tableColumn id="4" xr3:uid="{EF9E9257-C526-4394-83F9-7D281CA75C79}" name="Wednesday">
      <calculatedColumnFormula>IFERROR(TEXT(TIMEVALUE(LEFT(Table3[[#This Row],[Wednesday]],5)),"h:mm AM/PM")&amp;" - "&amp;TEXT(TIMEVALUE(RIGHT(Table3[[#This Row],[Wednesday]],5)),"h:mm AM/PM"),"OFF")</calculatedColumnFormula>
    </tableColumn>
    <tableColumn id="5" xr3:uid="{2FA405E4-6616-4CB7-A501-C0041C308141}" name="Thursday">
      <calculatedColumnFormula>IFERROR(TEXT(TIMEVALUE(LEFT(Table3[[#This Row],[Thursday]],5)),"h:mm AM/PM")&amp;" - "&amp;TEXT(TIMEVALUE(RIGHT(Table3[[#This Row],[Thursday]],5)),"h:mm AM/PM"),"OFF")</calculatedColumnFormula>
    </tableColumn>
    <tableColumn id="6" xr3:uid="{3087EB49-9C0D-4D47-ACF1-59A31A7ED449}" name="Friday">
      <calculatedColumnFormula>IFERROR(TEXT(TIMEVALUE(LEFT(Table3[[#This Row],[Friday]],5)),"h:mm AM/PM")&amp;" - "&amp;TEXT(TIMEVALUE(RIGHT(Table3[[#This Row],[Friday]],5)),"h:mm AM/PM"),"OFF")</calculatedColumnFormula>
    </tableColumn>
    <tableColumn id="7" xr3:uid="{7F195236-A255-4239-A18F-D1985C1FA991}" name="Saturday">
      <calculatedColumnFormula>IFERROR(TEXT(TIMEVALUE(LEFT(Table3[[#This Row],[Saturday]],5)),"h:mm AM/PM")&amp;" - "&amp;TEXT(TIMEVALUE(RIGHT(Table3[[#This Row],[Saturday]],5)),"h:mm AM/PM"),"OFF")</calculatedColumnFormula>
    </tableColumn>
    <tableColumn id="8" xr3:uid="{D5FC7D3A-428B-4BA1-8F23-8A142E92F057}" name="Sunday">
      <calculatedColumnFormula>IFERROR(TEXT(TIMEVALUE(LEFT(Table3[[#This Row],[Sunday]],5)),"h:mm AM/PM")&amp;" - "&amp;TEXT(TIMEVALUE(RIGHT(Table3[[#This Row],[Sunday]],5)),"h:mm AM/PM"),"OFF")</calculatedColumnFormula>
    </tableColumn>
    <tableColumn id="9" xr3:uid="{6E7C373C-C241-4385-A011-BFB26902EB9F}" name="Rest Day">
      <calculatedColumnFormula>_xlfn.TEXTJOIN(" - ",TRUE,
IF(B2="OFF","Mon",""),
IF(C2="OFF","Tue",""),
IF(D2="OFF","Wed",""),
IF(E2="OFF","Thu",""),
IF(F2="OFF","Fri",""),
IF(G2="OFF","Sat",""),
IF(H2="OFF","Sun",""))</calculatedColumnFormula>
    </tableColumn>
    <tableColumn id="10" xr3:uid="{45BC9917-0BEC-4180-AAF3-5BF70314CF41}" name="Break 1" dataDxfId="12">
      <calculatedColumnFormula>Table3[[#This Row],[Break 1]]</calculatedColumnFormula>
    </tableColumn>
    <tableColumn id="11" xr3:uid="{0BADFF5D-4218-4046-809A-340E76D86932}" name="Break 2" dataDxfId="11">
      <calculatedColumnFormula>Table3[[#This Row],[Break 2]]</calculatedColumnFormula>
    </tableColumn>
    <tableColumn id="12" xr3:uid="{EBD3C4E8-25B3-4D58-91C8-8797B5C02F4A}" name="Lunch" dataDxfId="9">
      <calculatedColumnFormula>Table3[[#This Row],[Lunch]]</calculatedColumnFormula>
    </tableColumn>
    <tableColumn id="13" xr3:uid="{2B36C772-0B0E-403E-8E55-34758A3C82B2}" name="Break 3" dataDxfId="10">
      <calculatedColumnFormula>Table3[[#This Row],[Break 3]]</calculatedColumnFormula>
    </tableColumn>
    <tableColumn id="14" xr3:uid="{0B9B55C3-B343-485C-8171-CA63C0E45BCA}" name="Supervisor">
      <calculatedColumnFormula>Table3[[#This Row],[Supervisor]]</calculatedColumnFormula>
    </tableColumn>
    <tableColumn id="15" xr3:uid="{EBF657FB-AAF1-4EC3-A6D4-EADB776A31E0}" name="PH SHIFT" dataDxfId="8">
      <calculatedColumnFormula>IFERROR(TEXT(TIMEVALUE(LEFT(Table3[[#This Row],[PH SHIFT]],5)),"h:mm AM/PM")&amp;" - "&amp;TEXT(TIMEVALUE(RIGHT(Table3[[#This Row],[PH SHIFT]],5)),"h:mm AM/PM"),"OFF")</calculatedColumnFormula>
    </tableColumn>
    <tableColumn id="16" xr3:uid="{74DE5CDA-ED3F-47A1-81B1-5E235F1826D3}" name="OFFSET" dataDxfId="2">
      <calculatedColumnFormula>IF(O2="OFF",0,IF(ISNUMBER(SEARCH("pm",LEFT(O2,FIND(" - ",O2)-1))),1,0))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FA2A7-F67E-4B2A-A8BF-BEE95EA31C8C}" name="Table2" displayName="Table2" ref="A1:P66" totalsRowShown="0" headerRowDxfId="38" dataDxfId="37">
  <autoFilter ref="A1:P66" xr:uid="{7ABFA2A7-F67E-4B2A-A8BF-BEE95EA31C8C}"/>
  <sortState xmlns:xlrd2="http://schemas.microsoft.com/office/spreadsheetml/2017/richdata2" ref="A2:P66">
    <sortCondition ref="A1:A66"/>
  </sortState>
  <tableColumns count="16">
    <tableColumn id="1" xr3:uid="{311D3BBD-E613-4DFC-BAEE-EFBB3B28FB24}" name="Name"/>
    <tableColumn id="2" xr3:uid="{8F9001A5-53DA-4394-B0E5-25F630DB5BF6}" name="Monday" dataDxfId="45"/>
    <tableColumn id="3" xr3:uid="{3E5E1574-0687-42F8-83FC-FF1DC5A3A1CD}" name="Tuesday" dataDxfId="44"/>
    <tableColumn id="4" xr3:uid="{F68D4C7A-FCEC-416D-AFAD-938A63C9CBEF}" name="Wednesday" dataDxfId="43"/>
    <tableColumn id="5" xr3:uid="{1F93A4D0-18D3-489D-A117-3EA1B5FCDA6B}" name="Thursday" dataDxfId="42"/>
    <tableColumn id="6" xr3:uid="{F7EB6F67-1D2C-4168-B022-EBE1D0A8C53E}" name="Friday" dataDxfId="41"/>
    <tableColumn id="7" xr3:uid="{4468F089-19B5-46D6-B159-26D48BEE6069}" name="Saturday" dataDxfId="40"/>
    <tableColumn id="8" xr3:uid="{656D0C06-0D87-4AF0-92B8-E6F1E82CBC64}" name="Sunday" dataDxfId="39"/>
    <tableColumn id="9" xr3:uid="{B97D3317-68FD-4A57-885E-707D52D263B4}" name="Rest Day" dataDxfId="70"/>
    <tableColumn id="10" xr3:uid="{7E036D05-4624-4C4C-87AB-F7B6D9A8C0E4}" name="Break 1" dataDxfId="36"/>
    <tableColumn id="11" xr3:uid="{88924D9B-8678-4178-BEFB-215AA9009733}" name="Break 2" dataDxfId="35"/>
    <tableColumn id="12" xr3:uid="{C59CED7B-F5BE-4814-869E-CE877E479C6F}" name="Lunch" dataDxfId="34"/>
    <tableColumn id="13" xr3:uid="{D65400CD-D6ED-42E4-B248-2E26156D6E50}" name="Break 3" dataDxfId="33"/>
    <tableColumn id="14" xr3:uid="{CE201AE6-41C0-49DC-AEBC-553D2850C4E3}" name="Supervisor" dataDxfId="69"/>
    <tableColumn id="15" xr3:uid="{83DD762A-DAE0-4AFE-8CA5-492B818BB79A}" name="EST SHIFT" dataDxfId="68"/>
    <tableColumn id="16" xr3:uid="{E5884264-6259-4BC2-9654-B2991AB594FD}" name="Column1" dataDxfId="6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473D84-D9EA-4A0A-B91F-B5DB26D776E2}" name="Table3" displayName="Table3" ref="A1:P66" totalsRowShown="0" headerRowDxfId="66" dataDxfId="65">
  <autoFilter ref="A1:P66" xr:uid="{94473D84-D9EA-4A0A-B91F-B5DB26D776E2}"/>
  <tableColumns count="16">
    <tableColumn id="1" xr3:uid="{D0B0696F-75FC-4AFF-A11B-C5D46CC25C78}" name="Name" dataDxfId="46">
      <calculatedColumnFormula>Table2[[#This Row],[Name]]</calculatedColumnFormula>
    </tableColumn>
    <tableColumn id="2" xr3:uid="{BBF0B479-620B-4B71-BB9A-1F4E5FBB2C82}" name="Monday" dataDxfId="64"/>
    <tableColumn id="3" xr3:uid="{F4D315E5-0361-4733-A5E1-09F451DC19DD}" name="Tuesday" dataDxfId="63"/>
    <tableColumn id="4" xr3:uid="{2E476E27-E48D-4AD9-BD5F-522EF6FC58A0}" name="Wednesday" dataDxfId="62"/>
    <tableColumn id="5" xr3:uid="{A18B12AD-041B-4C04-9106-2824C53C1DE2}" name="Thursday" dataDxfId="61"/>
    <tableColumn id="6" xr3:uid="{0E90988C-50D8-43F9-926F-8CBAA6CF48A6}" name="Friday" dataDxfId="60"/>
    <tableColumn id="7" xr3:uid="{1EA1CACD-D7F8-417C-AD10-6AE8B3F951AF}" name="Saturday" dataDxfId="59"/>
    <tableColumn id="8" xr3:uid="{DC9C8B77-9487-45DC-B5CA-C948E19F7C3B}" name="Sunday" dataDxfId="58"/>
    <tableColumn id="9" xr3:uid="{66009700-7181-415F-BE1E-8B3368A13FF7}" name="Rest Day" dataDxfId="57"/>
    <tableColumn id="10" xr3:uid="{D17B8E11-9A58-48EF-919A-BD4ABB27F564}" name="Break 1" dataDxfId="56"/>
    <tableColumn id="11" xr3:uid="{44378E06-1320-4348-BB95-2AA160393F58}" name="Break 2" dataDxfId="55"/>
    <tableColumn id="12" xr3:uid="{843CA1FD-F228-49F9-BD5D-F8CAF978B199}" name="Lunch" dataDxfId="54"/>
    <tableColumn id="13" xr3:uid="{66403EC5-BF40-49EC-AC72-576350FD2523}" name="Break 3" dataDxfId="53"/>
    <tableColumn id="14" xr3:uid="{3756309B-9082-4BF0-8B84-8D7322F3FF86}" name="Supervisor" dataDxfId="52"/>
    <tableColumn id="15" xr3:uid="{F72805BC-41F7-4089-876A-3AA562898F65}" name="PH SHIFT" dataDxfId="51"/>
    <tableColumn id="16" xr3:uid="{17F73FE5-6305-48B3-872C-53656D5EBDA7}" name="OFFSET" dataDxfId="5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49" headerRowBorderDxfId="48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47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CFD33-D5F5-4850-9DC7-D44F4B3A56AA}">
  <dimension ref="A1:P66"/>
  <sheetViews>
    <sheetView tabSelected="1" zoomScaleNormal="100" workbookViewId="0"/>
  </sheetViews>
  <sheetFormatPr defaultRowHeight="15" x14ac:dyDescent="0.25"/>
  <cols>
    <col min="1" max="1" width="27.140625" bestFit="1" customWidth="1"/>
    <col min="2" max="2" width="17.5703125" bestFit="1" customWidth="1"/>
    <col min="3" max="8" width="18.5703125" bestFit="1" customWidth="1"/>
    <col min="9" max="9" width="20.140625" bestFit="1" customWidth="1"/>
    <col min="10" max="11" width="9.5703125" customWidth="1"/>
    <col min="12" max="12" width="8.85546875" bestFit="1" customWidth="1"/>
    <col min="13" max="13" width="9.5703125" customWidth="1"/>
    <col min="14" max="15" width="18.5703125" bestFit="1" customWidth="1"/>
    <col min="16" max="16" width="11.28515625" customWidth="1"/>
  </cols>
  <sheetData>
    <row r="1" spans="1:16" x14ac:dyDescent="0.25">
      <c r="A1" s="56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57" t="s">
        <v>8</v>
      </c>
      <c r="J1" s="56" t="s">
        <v>9</v>
      </c>
      <c r="K1" s="56" t="s">
        <v>10</v>
      </c>
      <c r="L1" s="56" t="s">
        <v>11</v>
      </c>
      <c r="M1" s="56" t="s">
        <v>12</v>
      </c>
      <c r="N1" s="56" t="s">
        <v>13</v>
      </c>
      <c r="O1" s="56" t="s">
        <v>14</v>
      </c>
      <c r="P1" s="54" t="s">
        <v>15</v>
      </c>
    </row>
    <row r="2" spans="1:16" x14ac:dyDescent="0.25">
      <c r="A2" t="s">
        <v>16</v>
      </c>
      <c r="B2" t="s">
        <v>174</v>
      </c>
      <c r="C2" t="s">
        <v>174</v>
      </c>
      <c r="D2" t="s">
        <v>18</v>
      </c>
      <c r="E2" t="s">
        <v>18</v>
      </c>
      <c r="F2" t="s">
        <v>18</v>
      </c>
      <c r="G2" t="s">
        <v>174</v>
      </c>
      <c r="H2" t="s">
        <v>174</v>
      </c>
      <c r="I2" t="str">
        <f>_xlfn.TEXTJOIN(" - ",TRUE,
IF(B2="OFF","Mon",""),
IF(C2="OFF","Tue",""),
IF(D2="OFF","Wed",""),
IF(E2="OFF","Thu",""),
IF(F2="OFF","Fri",""),
IF(G2="OFF","Sat",""),
IF(H2="OFF","Sun",""))</f>
        <v>Wed - Thu - Fri</v>
      </c>
      <c r="J2" s="37">
        <v>0.125</v>
      </c>
      <c r="K2" s="37">
        <v>0.35416666666666669</v>
      </c>
      <c r="L2" s="37">
        <v>0.26041666666666669</v>
      </c>
      <c r="M2" s="37">
        <v>0.44791666666666669</v>
      </c>
      <c r="N2" t="s">
        <v>20</v>
      </c>
      <c r="O2" t="s">
        <v>174</v>
      </c>
      <c r="P2">
        <v>0</v>
      </c>
    </row>
    <row r="3" spans="1:16" x14ac:dyDescent="0.25">
      <c r="A3" t="s">
        <v>21</v>
      </c>
      <c r="B3" t="s">
        <v>175</v>
      </c>
      <c r="C3" t="s">
        <v>175</v>
      </c>
      <c r="D3" t="s">
        <v>175</v>
      </c>
      <c r="E3" t="s">
        <v>18</v>
      </c>
      <c r="F3" t="s">
        <v>18</v>
      </c>
      <c r="G3" t="s">
        <v>18</v>
      </c>
      <c r="H3" t="s">
        <v>175</v>
      </c>
      <c r="I3" t="str">
        <f t="shared" ref="I3:I66" si="0">_xlfn.TEXTJOIN(" - ",TRUE,
IF(B3="OFF","Mon",""),
IF(C3="OFF","Tue",""),
IF(D3="OFF","Wed",""),
IF(E3="OFF","Thu",""),
IF(F3="OFF","Fri",""),
IF(G3="OFF","Sat",""),
IF(H3="OFF","Sun",""))</f>
        <v>Thu - Fri - Sat</v>
      </c>
      <c r="J3" s="37">
        <v>0.61458333333333337</v>
      </c>
      <c r="K3" s="37">
        <v>0.8125</v>
      </c>
      <c r="L3" s="37">
        <v>0.6875</v>
      </c>
      <c r="M3" s="37">
        <v>0.91666666666666663</v>
      </c>
      <c r="N3" t="s">
        <v>20</v>
      </c>
      <c r="O3" t="s">
        <v>175</v>
      </c>
      <c r="P3">
        <v>1</v>
      </c>
    </row>
    <row r="4" spans="1:16" x14ac:dyDescent="0.25">
      <c r="A4" t="s">
        <v>24</v>
      </c>
      <c r="B4" t="s">
        <v>176</v>
      </c>
      <c r="C4" t="s">
        <v>176</v>
      </c>
      <c r="D4" t="s">
        <v>176</v>
      </c>
      <c r="E4" t="s">
        <v>18</v>
      </c>
      <c r="F4" t="s">
        <v>176</v>
      </c>
      <c r="G4" t="s">
        <v>18</v>
      </c>
      <c r="H4" t="s">
        <v>18</v>
      </c>
      <c r="I4" t="str">
        <f t="shared" si="0"/>
        <v>Thu - Sat - Sun</v>
      </c>
      <c r="J4" s="37">
        <v>0.39583333333333331</v>
      </c>
      <c r="K4" s="37">
        <v>0.60416666666666663</v>
      </c>
      <c r="L4" s="37">
        <v>0.47916666666666669</v>
      </c>
      <c r="M4" s="37">
        <v>0.73958333333333337</v>
      </c>
      <c r="N4" t="s">
        <v>27</v>
      </c>
      <c r="O4" t="s">
        <v>176</v>
      </c>
      <c r="P4">
        <v>0</v>
      </c>
    </row>
    <row r="5" spans="1:16" x14ac:dyDescent="0.25">
      <c r="A5" t="s">
        <v>28</v>
      </c>
      <c r="B5" t="s">
        <v>177</v>
      </c>
      <c r="C5" t="s">
        <v>177</v>
      </c>
      <c r="D5" t="s">
        <v>177</v>
      </c>
      <c r="E5" t="s">
        <v>177</v>
      </c>
      <c r="F5" t="s">
        <v>18</v>
      </c>
      <c r="G5" t="s">
        <v>18</v>
      </c>
      <c r="H5" t="s">
        <v>18</v>
      </c>
      <c r="I5" t="str">
        <f t="shared" si="0"/>
        <v>Fri - Sat - Sun</v>
      </c>
      <c r="J5" s="37">
        <v>0.38541666666666669</v>
      </c>
      <c r="K5" s="37">
        <v>0.61458333333333337</v>
      </c>
      <c r="L5" s="37">
        <v>0.46875</v>
      </c>
      <c r="M5" s="37">
        <v>0.71875</v>
      </c>
      <c r="N5" t="s">
        <v>27</v>
      </c>
      <c r="O5" t="s">
        <v>177</v>
      </c>
      <c r="P5">
        <v>0</v>
      </c>
    </row>
    <row r="6" spans="1:16" x14ac:dyDescent="0.25">
      <c r="A6" t="s">
        <v>31</v>
      </c>
      <c r="B6" t="s">
        <v>18</v>
      </c>
      <c r="C6" t="s">
        <v>18</v>
      </c>
      <c r="D6" t="s">
        <v>18</v>
      </c>
      <c r="E6" t="s">
        <v>178</v>
      </c>
      <c r="F6" t="s">
        <v>178</v>
      </c>
      <c r="G6" t="s">
        <v>178</v>
      </c>
      <c r="H6" t="s">
        <v>178</v>
      </c>
      <c r="I6" t="str">
        <f t="shared" si="0"/>
        <v>Mon - Tue - Wed</v>
      </c>
      <c r="J6" s="37">
        <v>0.92708333333333337</v>
      </c>
      <c r="K6" s="37">
        <v>1.0416666666666666E-2</v>
      </c>
      <c r="L6" s="37">
        <v>0.1875</v>
      </c>
      <c r="M6" s="37">
        <v>0.10416666666666667</v>
      </c>
      <c r="N6" t="s">
        <v>34</v>
      </c>
      <c r="O6" t="s">
        <v>178</v>
      </c>
      <c r="P6">
        <v>1</v>
      </c>
    </row>
    <row r="7" spans="1:16" x14ac:dyDescent="0.25">
      <c r="A7" t="s">
        <v>35</v>
      </c>
      <c r="B7" t="s">
        <v>18</v>
      </c>
      <c r="C7" t="s">
        <v>18</v>
      </c>
      <c r="D7" t="s">
        <v>179</v>
      </c>
      <c r="E7" t="s">
        <v>179</v>
      </c>
      <c r="F7" t="s">
        <v>179</v>
      </c>
      <c r="G7" t="s">
        <v>179</v>
      </c>
      <c r="H7" t="s">
        <v>18</v>
      </c>
      <c r="I7" t="str">
        <f t="shared" si="0"/>
        <v>Mon - Tue - Sun</v>
      </c>
      <c r="J7" s="37">
        <v>0.45833333333333331</v>
      </c>
      <c r="K7" s="37">
        <v>0.55208333333333337</v>
      </c>
      <c r="L7" s="37">
        <v>0.6875</v>
      </c>
      <c r="M7" s="37">
        <v>0.78125</v>
      </c>
      <c r="N7" t="s">
        <v>38</v>
      </c>
      <c r="O7" t="s">
        <v>179</v>
      </c>
      <c r="P7">
        <v>0</v>
      </c>
    </row>
    <row r="8" spans="1:16" x14ac:dyDescent="0.25">
      <c r="A8" t="s">
        <v>39</v>
      </c>
      <c r="B8" t="s">
        <v>179</v>
      </c>
      <c r="C8" t="s">
        <v>179</v>
      </c>
      <c r="D8" t="s">
        <v>179</v>
      </c>
      <c r="E8" t="s">
        <v>18</v>
      </c>
      <c r="F8" t="s">
        <v>179</v>
      </c>
      <c r="G8" t="s">
        <v>18</v>
      </c>
      <c r="H8" t="s">
        <v>18</v>
      </c>
      <c r="I8" t="str">
        <f t="shared" si="0"/>
        <v>Thu - Sat - Sun</v>
      </c>
      <c r="J8" s="37">
        <v>0.47916666666666669</v>
      </c>
      <c r="K8" s="37">
        <v>0.625</v>
      </c>
      <c r="L8" s="37">
        <v>0.55208333333333337</v>
      </c>
      <c r="M8" s="37">
        <v>0.77083333333333337</v>
      </c>
      <c r="N8" t="s">
        <v>34</v>
      </c>
      <c r="O8" t="s">
        <v>179</v>
      </c>
      <c r="P8">
        <v>0</v>
      </c>
    </row>
    <row r="9" spans="1:16" x14ac:dyDescent="0.25">
      <c r="A9" t="s">
        <v>40</v>
      </c>
      <c r="B9" t="s">
        <v>179</v>
      </c>
      <c r="C9" t="s">
        <v>18</v>
      </c>
      <c r="D9" t="s">
        <v>18</v>
      </c>
      <c r="E9" t="s">
        <v>18</v>
      </c>
      <c r="F9" t="s">
        <v>179</v>
      </c>
      <c r="G9" t="s">
        <v>179</v>
      </c>
      <c r="H9" t="s">
        <v>179</v>
      </c>
      <c r="I9" t="str">
        <f t="shared" si="0"/>
        <v>Tue - Wed - Thu</v>
      </c>
      <c r="J9" s="37">
        <v>0.58333333333333337</v>
      </c>
      <c r="K9" s="37">
        <v>0.67708333333333337</v>
      </c>
      <c r="L9" s="37">
        <v>0.45833333333333331</v>
      </c>
      <c r="M9" s="37">
        <v>0.77083333333333337</v>
      </c>
      <c r="N9" t="s">
        <v>42</v>
      </c>
      <c r="O9" t="s">
        <v>179</v>
      </c>
      <c r="P9">
        <v>0</v>
      </c>
    </row>
    <row r="10" spans="1:16" x14ac:dyDescent="0.25">
      <c r="A10" t="s">
        <v>43</v>
      </c>
      <c r="B10" t="s">
        <v>179</v>
      </c>
      <c r="C10" t="s">
        <v>18</v>
      </c>
      <c r="D10" t="s">
        <v>179</v>
      </c>
      <c r="E10" t="s">
        <v>179</v>
      </c>
      <c r="F10" t="s">
        <v>179</v>
      </c>
      <c r="G10" t="s">
        <v>18</v>
      </c>
      <c r="H10" t="s">
        <v>18</v>
      </c>
      <c r="I10" t="str">
        <f t="shared" si="0"/>
        <v>Tue - Sat - Sun</v>
      </c>
      <c r="J10" s="37">
        <v>0.46875</v>
      </c>
      <c r="K10" s="37">
        <v>0.5625</v>
      </c>
      <c r="L10" s="37">
        <v>0.75</v>
      </c>
      <c r="M10" s="37">
        <v>0.65625</v>
      </c>
      <c r="N10" t="s">
        <v>38</v>
      </c>
      <c r="O10" t="s">
        <v>179</v>
      </c>
      <c r="P10">
        <v>0</v>
      </c>
    </row>
    <row r="11" spans="1:16" x14ac:dyDescent="0.25">
      <c r="A11" t="s">
        <v>45</v>
      </c>
      <c r="B11" t="s">
        <v>180</v>
      </c>
      <c r="C11" t="s">
        <v>180</v>
      </c>
      <c r="D11" t="s">
        <v>18</v>
      </c>
      <c r="E11" t="s">
        <v>180</v>
      </c>
      <c r="F11" t="s">
        <v>180</v>
      </c>
      <c r="G11" t="s">
        <v>18</v>
      </c>
      <c r="H11" t="s">
        <v>18</v>
      </c>
      <c r="I11" t="str">
        <f t="shared" si="0"/>
        <v>Wed - Sat - Sun</v>
      </c>
      <c r="J11" s="37">
        <v>0.19791666666666666</v>
      </c>
      <c r="K11" s="37">
        <v>0.4375</v>
      </c>
      <c r="L11" s="37">
        <v>0.3125</v>
      </c>
      <c r="M11" s="37">
        <v>0.54166666666666663</v>
      </c>
      <c r="N11" t="s">
        <v>38</v>
      </c>
      <c r="O11" t="s">
        <v>180</v>
      </c>
      <c r="P11">
        <v>0</v>
      </c>
    </row>
    <row r="12" spans="1:16" x14ac:dyDescent="0.25">
      <c r="A12" t="s">
        <v>48</v>
      </c>
      <c r="B12" t="s">
        <v>18</v>
      </c>
      <c r="C12" t="s">
        <v>179</v>
      </c>
      <c r="D12" t="s">
        <v>179</v>
      </c>
      <c r="E12" t="s">
        <v>179</v>
      </c>
      <c r="F12" t="s">
        <v>179</v>
      </c>
      <c r="G12" t="s">
        <v>18</v>
      </c>
      <c r="H12" t="s">
        <v>18</v>
      </c>
      <c r="I12" t="str">
        <f t="shared" si="0"/>
        <v>Mon - Sat - Sun</v>
      </c>
      <c r="J12" s="37">
        <v>0.45833333333333331</v>
      </c>
      <c r="K12" s="37">
        <v>0.54166666666666663</v>
      </c>
      <c r="L12" s="37">
        <v>0.64583333333333337</v>
      </c>
      <c r="M12" s="37">
        <v>0.76041666666666663</v>
      </c>
      <c r="N12" t="s">
        <v>34</v>
      </c>
      <c r="O12" t="s">
        <v>179</v>
      </c>
      <c r="P12">
        <v>0</v>
      </c>
    </row>
    <row r="13" spans="1:16" x14ac:dyDescent="0.25">
      <c r="A13" t="s">
        <v>50</v>
      </c>
      <c r="B13" t="s">
        <v>177</v>
      </c>
      <c r="C13" t="s">
        <v>177</v>
      </c>
      <c r="D13" t="s">
        <v>177</v>
      </c>
      <c r="E13" t="s">
        <v>177</v>
      </c>
      <c r="F13" t="s">
        <v>18</v>
      </c>
      <c r="G13" t="s">
        <v>18</v>
      </c>
      <c r="H13" t="s">
        <v>18</v>
      </c>
      <c r="I13" t="str">
        <f t="shared" si="0"/>
        <v>Fri - Sat - Sun</v>
      </c>
      <c r="J13" s="37">
        <v>0.39583333333333331</v>
      </c>
      <c r="K13" s="37">
        <v>0.60416666666666663</v>
      </c>
      <c r="L13" s="37">
        <v>0.47916666666666669</v>
      </c>
      <c r="M13" s="37">
        <v>0.72916666666666663</v>
      </c>
      <c r="N13" t="s">
        <v>42</v>
      </c>
      <c r="O13" t="s">
        <v>177</v>
      </c>
      <c r="P13">
        <v>0</v>
      </c>
    </row>
    <row r="14" spans="1:16" x14ac:dyDescent="0.25">
      <c r="A14" t="s">
        <v>51</v>
      </c>
      <c r="B14" t="s">
        <v>18</v>
      </c>
      <c r="C14" t="s">
        <v>18</v>
      </c>
      <c r="D14" t="s">
        <v>18</v>
      </c>
      <c r="E14" t="s">
        <v>181</v>
      </c>
      <c r="F14" t="s">
        <v>181</v>
      </c>
      <c r="G14" t="s">
        <v>181</v>
      </c>
      <c r="H14" t="s">
        <v>181</v>
      </c>
      <c r="I14" t="str">
        <f t="shared" si="0"/>
        <v>Mon - Tue - Wed</v>
      </c>
      <c r="J14" s="37">
        <v>0.875</v>
      </c>
      <c r="K14" s="37">
        <v>0.95833333333333337</v>
      </c>
      <c r="L14" s="37">
        <v>6.25E-2</v>
      </c>
      <c r="M14" s="37">
        <v>0.1875</v>
      </c>
      <c r="N14" t="s">
        <v>27</v>
      </c>
      <c r="O14" t="s">
        <v>181</v>
      </c>
      <c r="P14">
        <v>1</v>
      </c>
    </row>
    <row r="15" spans="1:16" x14ac:dyDescent="0.25">
      <c r="A15" t="s">
        <v>53</v>
      </c>
      <c r="B15" t="s">
        <v>18</v>
      </c>
      <c r="C15" t="s">
        <v>182</v>
      </c>
      <c r="D15" t="s">
        <v>182</v>
      </c>
      <c r="E15" t="s">
        <v>182</v>
      </c>
      <c r="F15" t="s">
        <v>182</v>
      </c>
      <c r="G15" t="s">
        <v>18</v>
      </c>
      <c r="H15" t="s">
        <v>18</v>
      </c>
      <c r="I15" t="str">
        <f t="shared" si="0"/>
        <v>Mon - Sat - Sun</v>
      </c>
      <c r="J15" s="37">
        <v>0.23958333333333334</v>
      </c>
      <c r="K15" s="37">
        <v>0.52083333333333337</v>
      </c>
      <c r="L15" s="37">
        <v>0.35416666666666669</v>
      </c>
      <c r="M15" s="37">
        <v>0.58333333333333337</v>
      </c>
      <c r="N15" t="s">
        <v>27</v>
      </c>
      <c r="O15" t="s">
        <v>182</v>
      </c>
      <c r="P15">
        <v>0</v>
      </c>
    </row>
    <row r="16" spans="1:16" x14ac:dyDescent="0.25">
      <c r="A16" t="s">
        <v>55</v>
      </c>
      <c r="B16" t="s">
        <v>179</v>
      </c>
      <c r="C16" t="s">
        <v>179</v>
      </c>
      <c r="D16" t="s">
        <v>179</v>
      </c>
      <c r="E16" t="s">
        <v>179</v>
      </c>
      <c r="F16" t="s">
        <v>18</v>
      </c>
      <c r="G16" t="s">
        <v>18</v>
      </c>
      <c r="H16" t="s">
        <v>18</v>
      </c>
      <c r="I16" t="str">
        <f t="shared" si="0"/>
        <v>Fri - Sat - Sun</v>
      </c>
      <c r="J16" s="37">
        <v>0.47916666666666669</v>
      </c>
      <c r="K16" s="37">
        <v>0.72916666666666663</v>
      </c>
      <c r="L16" s="37">
        <v>0.60416666666666663</v>
      </c>
      <c r="M16" s="37">
        <v>0.80208333333333337</v>
      </c>
      <c r="N16" t="s">
        <v>27</v>
      </c>
      <c r="O16" t="s">
        <v>179</v>
      </c>
      <c r="P16">
        <v>0</v>
      </c>
    </row>
    <row r="17" spans="1:16" x14ac:dyDescent="0.25">
      <c r="A17" t="s">
        <v>56</v>
      </c>
      <c r="B17" t="s">
        <v>176</v>
      </c>
      <c r="C17" t="s">
        <v>18</v>
      </c>
      <c r="D17" t="s">
        <v>18</v>
      </c>
      <c r="E17" t="s">
        <v>18</v>
      </c>
      <c r="F17" t="s">
        <v>176</v>
      </c>
      <c r="G17" t="s">
        <v>176</v>
      </c>
      <c r="H17" t="s">
        <v>176</v>
      </c>
      <c r="I17" t="str">
        <f t="shared" si="0"/>
        <v>Tue - Wed - Thu</v>
      </c>
      <c r="J17" s="37">
        <v>0.4375</v>
      </c>
      <c r="K17" s="37">
        <v>0.64583333333333337</v>
      </c>
      <c r="L17" s="37">
        <v>0.52083333333333337</v>
      </c>
      <c r="M17" s="37">
        <v>0.75</v>
      </c>
      <c r="N17" t="s">
        <v>27</v>
      </c>
      <c r="O17" t="s">
        <v>176</v>
      </c>
      <c r="P17">
        <v>0</v>
      </c>
    </row>
    <row r="18" spans="1:16" x14ac:dyDescent="0.25">
      <c r="A18" t="s">
        <v>57</v>
      </c>
      <c r="B18" t="s">
        <v>183</v>
      </c>
      <c r="C18" t="s">
        <v>183</v>
      </c>
      <c r="D18" t="s">
        <v>183</v>
      </c>
      <c r="E18" t="s">
        <v>183</v>
      </c>
      <c r="F18" t="s">
        <v>18</v>
      </c>
      <c r="G18" t="s">
        <v>18</v>
      </c>
      <c r="H18" t="s">
        <v>18</v>
      </c>
      <c r="I18" t="str">
        <f t="shared" si="0"/>
        <v>Fri - Sat - Sun</v>
      </c>
      <c r="J18" s="37">
        <v>0.54166666666666663</v>
      </c>
      <c r="K18" s="37">
        <v>0.63541666666666663</v>
      </c>
      <c r="L18" s="37">
        <v>0.72916666666666663</v>
      </c>
      <c r="M18" s="37">
        <v>0.85416666666666663</v>
      </c>
      <c r="N18" t="s">
        <v>38</v>
      </c>
      <c r="O18" t="s">
        <v>183</v>
      </c>
      <c r="P18">
        <v>0</v>
      </c>
    </row>
    <row r="19" spans="1:16" x14ac:dyDescent="0.25">
      <c r="A19" t="s">
        <v>59</v>
      </c>
      <c r="B19" t="s">
        <v>179</v>
      </c>
      <c r="C19" t="s">
        <v>179</v>
      </c>
      <c r="D19" t="s">
        <v>179</v>
      </c>
      <c r="E19" t="s">
        <v>18</v>
      </c>
      <c r="F19" t="s">
        <v>179</v>
      </c>
      <c r="G19" t="s">
        <v>18</v>
      </c>
      <c r="H19" t="s">
        <v>18</v>
      </c>
      <c r="I19" t="str">
        <f t="shared" si="0"/>
        <v>Thu - Sat - Sun</v>
      </c>
      <c r="J19" s="37">
        <v>0.45833333333333331</v>
      </c>
      <c r="K19" s="37">
        <v>0.57291666666666663</v>
      </c>
      <c r="L19" s="37">
        <v>0.64583333333333337</v>
      </c>
      <c r="M19" s="37">
        <v>0.77083333333333337</v>
      </c>
      <c r="N19" t="s">
        <v>38</v>
      </c>
      <c r="O19" t="s">
        <v>179</v>
      </c>
      <c r="P19">
        <v>0</v>
      </c>
    </row>
    <row r="20" spans="1:16" x14ac:dyDescent="0.25">
      <c r="A20" t="s">
        <v>60</v>
      </c>
      <c r="B20" t="s">
        <v>179</v>
      </c>
      <c r="C20" t="s">
        <v>179</v>
      </c>
      <c r="D20" t="s">
        <v>18</v>
      </c>
      <c r="E20" t="s">
        <v>179</v>
      </c>
      <c r="F20" t="s">
        <v>179</v>
      </c>
      <c r="G20" t="s">
        <v>18</v>
      </c>
      <c r="H20" t="s">
        <v>18</v>
      </c>
      <c r="I20" t="str">
        <f t="shared" si="0"/>
        <v>Wed - Sat - Sun</v>
      </c>
      <c r="J20" s="37">
        <v>0.48958333333333331</v>
      </c>
      <c r="K20" s="37">
        <v>0.57291666666666663</v>
      </c>
      <c r="L20" s="37">
        <v>0.66666666666666663</v>
      </c>
      <c r="M20" s="37">
        <v>0.75</v>
      </c>
      <c r="N20" t="s">
        <v>38</v>
      </c>
      <c r="O20" t="s">
        <v>179</v>
      </c>
      <c r="P20">
        <v>0</v>
      </c>
    </row>
    <row r="21" spans="1:16" x14ac:dyDescent="0.25">
      <c r="A21" t="s">
        <v>61</v>
      </c>
      <c r="B21" t="s">
        <v>176</v>
      </c>
      <c r="C21" t="s">
        <v>176</v>
      </c>
      <c r="D21" t="s">
        <v>18</v>
      </c>
      <c r="E21" t="s">
        <v>176</v>
      </c>
      <c r="F21" t="s">
        <v>176</v>
      </c>
      <c r="G21" t="s">
        <v>18</v>
      </c>
      <c r="H21" t="s">
        <v>18</v>
      </c>
      <c r="I21" t="str">
        <f t="shared" si="0"/>
        <v>Wed - Sat - Sun</v>
      </c>
      <c r="J21" s="37">
        <v>0.4375</v>
      </c>
      <c r="K21" s="37">
        <v>0.65625</v>
      </c>
      <c r="L21" s="37">
        <v>0.53125</v>
      </c>
      <c r="M21" s="37">
        <v>0.75</v>
      </c>
      <c r="N21" t="s">
        <v>34</v>
      </c>
      <c r="O21" t="s">
        <v>176</v>
      </c>
      <c r="P21">
        <v>0</v>
      </c>
    </row>
    <row r="22" spans="1:16" x14ac:dyDescent="0.25">
      <c r="A22" t="s">
        <v>62</v>
      </c>
      <c r="B22" t="s">
        <v>184</v>
      </c>
      <c r="C22" t="s">
        <v>184</v>
      </c>
      <c r="D22" t="s">
        <v>18</v>
      </c>
      <c r="E22" t="s">
        <v>18</v>
      </c>
      <c r="F22" t="s">
        <v>184</v>
      </c>
      <c r="G22" t="s">
        <v>18</v>
      </c>
      <c r="H22" t="s">
        <v>184</v>
      </c>
      <c r="I22" t="str">
        <f t="shared" si="0"/>
        <v>Wed - Thu - Sat</v>
      </c>
      <c r="J22" s="37">
        <v>0.89583333333333337</v>
      </c>
      <c r="K22" s="37">
        <v>0.10416666666666667</v>
      </c>
      <c r="L22" s="37">
        <v>0.97916666666666663</v>
      </c>
      <c r="M22" s="37">
        <v>0.1875</v>
      </c>
      <c r="N22" t="s">
        <v>42</v>
      </c>
      <c r="O22" t="s">
        <v>184</v>
      </c>
      <c r="P22">
        <v>1</v>
      </c>
    </row>
    <row r="23" spans="1:16" x14ac:dyDescent="0.25">
      <c r="A23" t="s">
        <v>65</v>
      </c>
      <c r="B23" t="s">
        <v>185</v>
      </c>
      <c r="C23" t="s">
        <v>185</v>
      </c>
      <c r="D23" t="s">
        <v>185</v>
      </c>
      <c r="E23" t="s">
        <v>185</v>
      </c>
      <c r="F23" t="s">
        <v>18</v>
      </c>
      <c r="G23" t="s">
        <v>18</v>
      </c>
      <c r="H23" t="s">
        <v>18</v>
      </c>
      <c r="I23" t="str">
        <f t="shared" si="0"/>
        <v>Fri - Sat - Sun</v>
      </c>
      <c r="J23" s="37">
        <v>0.34375</v>
      </c>
      <c r="K23" s="37">
        <v>0.5625</v>
      </c>
      <c r="L23" s="37">
        <v>0.4375</v>
      </c>
      <c r="M23" s="37">
        <v>0.65625</v>
      </c>
      <c r="N23" t="s">
        <v>20</v>
      </c>
      <c r="O23" t="s">
        <v>185</v>
      </c>
      <c r="P23">
        <v>0</v>
      </c>
    </row>
    <row r="24" spans="1:16" x14ac:dyDescent="0.25">
      <c r="A24" t="s">
        <v>67</v>
      </c>
      <c r="B24" t="s">
        <v>186</v>
      </c>
      <c r="C24" t="s">
        <v>186</v>
      </c>
      <c r="D24" t="s">
        <v>186</v>
      </c>
      <c r="E24" t="s">
        <v>18</v>
      </c>
      <c r="F24" t="s">
        <v>18</v>
      </c>
      <c r="G24" t="s">
        <v>18</v>
      </c>
      <c r="H24" t="s">
        <v>186</v>
      </c>
      <c r="I24" t="str">
        <f t="shared" si="0"/>
        <v>Thu - Fri - Sat</v>
      </c>
      <c r="J24" s="37">
        <v>0.30208333333333331</v>
      </c>
      <c r="K24" s="37">
        <v>0.54166666666666663</v>
      </c>
      <c r="L24" s="37">
        <v>0.41666666666666669</v>
      </c>
      <c r="M24" s="37">
        <v>0.64583333333333337</v>
      </c>
      <c r="N24" t="s">
        <v>42</v>
      </c>
      <c r="O24" t="s">
        <v>186</v>
      </c>
      <c r="P24">
        <v>0</v>
      </c>
    </row>
    <row r="25" spans="1:16" x14ac:dyDescent="0.25">
      <c r="A25" t="s">
        <v>69</v>
      </c>
      <c r="B25" t="s">
        <v>187</v>
      </c>
      <c r="C25" t="s">
        <v>187</v>
      </c>
      <c r="D25" t="s">
        <v>187</v>
      </c>
      <c r="E25" t="s">
        <v>187</v>
      </c>
      <c r="F25" t="s">
        <v>18</v>
      </c>
      <c r="G25" t="s">
        <v>18</v>
      </c>
      <c r="H25" t="s">
        <v>18</v>
      </c>
      <c r="I25" t="str">
        <f t="shared" si="0"/>
        <v>Fri - Sat - Sun</v>
      </c>
      <c r="J25" s="37">
        <v>0.51041666666666663</v>
      </c>
      <c r="K25" s="37">
        <v>0.59375</v>
      </c>
      <c r="L25" s="37">
        <v>0.6875</v>
      </c>
      <c r="M25" s="37">
        <v>0.8125</v>
      </c>
      <c r="N25" t="s">
        <v>34</v>
      </c>
      <c r="O25" t="s">
        <v>187</v>
      </c>
      <c r="P25">
        <v>0</v>
      </c>
    </row>
    <row r="26" spans="1:16" x14ac:dyDescent="0.25">
      <c r="A26" t="s">
        <v>71</v>
      </c>
      <c r="B26" t="s">
        <v>176</v>
      </c>
      <c r="C26" t="s">
        <v>176</v>
      </c>
      <c r="D26" t="s">
        <v>18</v>
      </c>
      <c r="E26" t="s">
        <v>176</v>
      </c>
      <c r="F26" t="s">
        <v>176</v>
      </c>
      <c r="G26" t="s">
        <v>18</v>
      </c>
      <c r="H26" t="s">
        <v>18</v>
      </c>
      <c r="I26" t="str">
        <f t="shared" si="0"/>
        <v>Wed - Sat - Sun</v>
      </c>
      <c r="J26" s="37">
        <v>0.42708333333333331</v>
      </c>
      <c r="K26" s="37">
        <v>0.65625</v>
      </c>
      <c r="L26" s="37">
        <v>0.53125</v>
      </c>
      <c r="M26" s="37">
        <v>0.75</v>
      </c>
      <c r="N26" t="s">
        <v>20</v>
      </c>
      <c r="O26" t="s">
        <v>176</v>
      </c>
      <c r="P26">
        <v>0</v>
      </c>
    </row>
    <row r="27" spans="1:16" x14ac:dyDescent="0.25">
      <c r="A27" t="s">
        <v>72</v>
      </c>
      <c r="B27" t="s">
        <v>183</v>
      </c>
      <c r="C27" t="s">
        <v>183</v>
      </c>
      <c r="D27" t="s">
        <v>183</v>
      </c>
      <c r="E27" t="s">
        <v>183</v>
      </c>
      <c r="F27" t="s">
        <v>18</v>
      </c>
      <c r="G27" t="s">
        <v>18</v>
      </c>
      <c r="H27" t="s">
        <v>18</v>
      </c>
      <c r="I27" t="str">
        <f t="shared" si="0"/>
        <v>Fri - Sat - Sun</v>
      </c>
      <c r="J27" s="37">
        <v>0.54166666666666663</v>
      </c>
      <c r="K27" s="37">
        <v>0.76041666666666663</v>
      </c>
      <c r="L27" s="37">
        <v>0.63541666666666663</v>
      </c>
      <c r="M27" s="37">
        <v>0.86458333333333337</v>
      </c>
      <c r="N27" t="s">
        <v>20</v>
      </c>
      <c r="O27" t="s">
        <v>183</v>
      </c>
      <c r="P27">
        <v>0</v>
      </c>
    </row>
    <row r="28" spans="1:16" x14ac:dyDescent="0.25">
      <c r="A28" t="s">
        <v>73</v>
      </c>
      <c r="B28" t="s">
        <v>188</v>
      </c>
      <c r="C28" t="s">
        <v>188</v>
      </c>
      <c r="D28" t="s">
        <v>188</v>
      </c>
      <c r="E28" t="s">
        <v>18</v>
      </c>
      <c r="F28" t="s">
        <v>18</v>
      </c>
      <c r="G28" t="s">
        <v>18</v>
      </c>
      <c r="H28" t="s">
        <v>188</v>
      </c>
      <c r="I28" t="str">
        <f t="shared" si="0"/>
        <v>Thu - Fri - Sat</v>
      </c>
      <c r="J28" s="37">
        <v>0.15625</v>
      </c>
      <c r="K28" s="37">
        <v>0.375</v>
      </c>
      <c r="L28" s="37">
        <v>0.25</v>
      </c>
      <c r="M28" s="37">
        <v>0.47916666666666669</v>
      </c>
      <c r="N28" t="s">
        <v>42</v>
      </c>
      <c r="O28" t="s">
        <v>188</v>
      </c>
      <c r="P28">
        <v>0</v>
      </c>
    </row>
    <row r="29" spans="1:16" x14ac:dyDescent="0.25">
      <c r="A29" t="s">
        <v>75</v>
      </c>
      <c r="B29" t="s">
        <v>189</v>
      </c>
      <c r="C29" t="s">
        <v>189</v>
      </c>
      <c r="D29" t="s">
        <v>18</v>
      </c>
      <c r="E29" t="s">
        <v>189</v>
      </c>
      <c r="F29" t="s">
        <v>189</v>
      </c>
      <c r="G29" t="s">
        <v>18</v>
      </c>
      <c r="H29" t="s">
        <v>18</v>
      </c>
      <c r="I29" t="str">
        <f t="shared" si="0"/>
        <v>Wed - Sat - Sun</v>
      </c>
      <c r="J29" s="37">
        <v>0.16666666666666666</v>
      </c>
      <c r="K29" s="37">
        <v>0.26041666666666669</v>
      </c>
      <c r="L29" s="37">
        <v>4.1666666666666664E-2</v>
      </c>
      <c r="M29" s="37">
        <v>0.33333333333333331</v>
      </c>
      <c r="N29" t="s">
        <v>27</v>
      </c>
      <c r="O29" t="s">
        <v>189</v>
      </c>
      <c r="P29">
        <v>1</v>
      </c>
    </row>
    <row r="30" spans="1:16" x14ac:dyDescent="0.25">
      <c r="A30" t="s">
        <v>77</v>
      </c>
      <c r="B30" t="s">
        <v>176</v>
      </c>
      <c r="C30" t="s">
        <v>18</v>
      </c>
      <c r="D30" t="s">
        <v>176</v>
      </c>
      <c r="E30" t="s">
        <v>176</v>
      </c>
      <c r="F30" t="s">
        <v>176</v>
      </c>
      <c r="G30" t="s">
        <v>18</v>
      </c>
      <c r="H30" t="s">
        <v>18</v>
      </c>
      <c r="I30" t="str">
        <f t="shared" si="0"/>
        <v>Tue - Sat - Sun</v>
      </c>
      <c r="J30" s="37">
        <v>0.41666666666666669</v>
      </c>
      <c r="K30" s="37">
        <v>0.64583333333333337</v>
      </c>
      <c r="L30" s="37">
        <v>0.5</v>
      </c>
      <c r="M30" s="37">
        <v>0.75</v>
      </c>
      <c r="N30" t="s">
        <v>27</v>
      </c>
      <c r="O30" t="s">
        <v>176</v>
      </c>
      <c r="P30">
        <v>0</v>
      </c>
    </row>
    <row r="31" spans="1:16" x14ac:dyDescent="0.25">
      <c r="A31" t="s">
        <v>78</v>
      </c>
      <c r="B31" t="s">
        <v>18</v>
      </c>
      <c r="C31" t="s">
        <v>18</v>
      </c>
      <c r="D31" t="s">
        <v>190</v>
      </c>
      <c r="E31" t="s">
        <v>190</v>
      </c>
      <c r="F31" t="s">
        <v>190</v>
      </c>
      <c r="G31" t="s">
        <v>190</v>
      </c>
      <c r="H31" t="s">
        <v>18</v>
      </c>
      <c r="I31" t="str">
        <f t="shared" si="0"/>
        <v>Mon - Tue - Sun</v>
      </c>
      <c r="J31" s="37">
        <v>0.58333333333333337</v>
      </c>
      <c r="K31" s="37">
        <v>0.8125</v>
      </c>
      <c r="L31" s="37">
        <v>0.67708333333333337</v>
      </c>
      <c r="M31" s="37">
        <v>0.91666666666666663</v>
      </c>
      <c r="N31" t="s">
        <v>27</v>
      </c>
      <c r="O31" t="s">
        <v>190</v>
      </c>
      <c r="P31">
        <v>1</v>
      </c>
    </row>
    <row r="32" spans="1:16" x14ac:dyDescent="0.25">
      <c r="A32" t="s">
        <v>80</v>
      </c>
      <c r="B32" t="s">
        <v>18</v>
      </c>
      <c r="C32" t="s">
        <v>186</v>
      </c>
      <c r="D32" t="s">
        <v>186</v>
      </c>
      <c r="E32" t="s">
        <v>186</v>
      </c>
      <c r="F32" t="s">
        <v>186</v>
      </c>
      <c r="G32" t="s">
        <v>18</v>
      </c>
      <c r="H32" t="s">
        <v>18</v>
      </c>
      <c r="I32" t="str">
        <f t="shared" si="0"/>
        <v>Mon - Sat - Sun</v>
      </c>
      <c r="J32" s="37">
        <v>0.30208333333333331</v>
      </c>
      <c r="K32" s="37">
        <v>0.46875</v>
      </c>
      <c r="L32" s="37">
        <v>0.38541666666666669</v>
      </c>
      <c r="M32" s="37">
        <v>0.58333333333333337</v>
      </c>
      <c r="N32" t="s">
        <v>27</v>
      </c>
      <c r="O32" t="s">
        <v>186</v>
      </c>
      <c r="P32">
        <v>0</v>
      </c>
    </row>
    <row r="33" spans="1:16" x14ac:dyDescent="0.25">
      <c r="A33" t="s">
        <v>81</v>
      </c>
      <c r="B33" t="s">
        <v>191</v>
      </c>
      <c r="C33" t="s">
        <v>191</v>
      </c>
      <c r="D33" t="s">
        <v>18</v>
      </c>
      <c r="E33" t="s">
        <v>18</v>
      </c>
      <c r="F33" t="s">
        <v>18</v>
      </c>
      <c r="G33" t="s">
        <v>191</v>
      </c>
      <c r="H33" t="s">
        <v>191</v>
      </c>
      <c r="I33" t="str">
        <f t="shared" si="0"/>
        <v>Wed - Thu - Fri</v>
      </c>
      <c r="J33" s="37">
        <v>0.95833333333333337</v>
      </c>
      <c r="K33" s="37">
        <v>6.25E-2</v>
      </c>
      <c r="L33" s="37">
        <v>0.16666666666666666</v>
      </c>
      <c r="M33" s="37">
        <v>0.29166666666666669</v>
      </c>
      <c r="N33" t="s">
        <v>38</v>
      </c>
      <c r="O33" t="s">
        <v>191</v>
      </c>
      <c r="P33">
        <v>1</v>
      </c>
    </row>
    <row r="34" spans="1:16" x14ac:dyDescent="0.25">
      <c r="A34" t="s">
        <v>84</v>
      </c>
      <c r="B34" t="s">
        <v>18</v>
      </c>
      <c r="C34" t="s">
        <v>18</v>
      </c>
      <c r="D34" t="s">
        <v>192</v>
      </c>
      <c r="E34" t="s">
        <v>192</v>
      </c>
      <c r="F34" t="s">
        <v>192</v>
      </c>
      <c r="G34" t="s">
        <v>192</v>
      </c>
      <c r="H34" t="s">
        <v>18</v>
      </c>
      <c r="I34" t="str">
        <f t="shared" si="0"/>
        <v>Mon - Tue - Sun</v>
      </c>
      <c r="J34" s="37">
        <v>0.34375</v>
      </c>
      <c r="K34" s="37">
        <v>0.16666666666666666</v>
      </c>
      <c r="L34" s="37">
        <v>0.22916666666666666</v>
      </c>
      <c r="M34" s="37">
        <v>0.42708333333333331</v>
      </c>
      <c r="N34" t="s">
        <v>27</v>
      </c>
      <c r="O34" t="s">
        <v>192</v>
      </c>
      <c r="P34">
        <v>0</v>
      </c>
    </row>
    <row r="35" spans="1:16" x14ac:dyDescent="0.25">
      <c r="A35" t="s">
        <v>87</v>
      </c>
      <c r="B35" t="s">
        <v>185</v>
      </c>
      <c r="C35" t="s">
        <v>185</v>
      </c>
      <c r="D35" t="s">
        <v>185</v>
      </c>
      <c r="E35" t="s">
        <v>185</v>
      </c>
      <c r="F35" t="s">
        <v>18</v>
      </c>
      <c r="G35" t="s">
        <v>18</v>
      </c>
      <c r="H35" t="s">
        <v>18</v>
      </c>
      <c r="I35" t="str">
        <f t="shared" si="0"/>
        <v>Fri - Sat - Sun</v>
      </c>
      <c r="J35" s="37">
        <v>0.33333333333333331</v>
      </c>
      <c r="K35" s="37">
        <v>0.55208333333333337</v>
      </c>
      <c r="L35" s="37">
        <v>0.42708333333333331</v>
      </c>
      <c r="M35" s="37">
        <v>0.64583333333333337</v>
      </c>
      <c r="N35" t="s">
        <v>20</v>
      </c>
      <c r="O35" t="s">
        <v>185</v>
      </c>
      <c r="P35">
        <v>0</v>
      </c>
    </row>
    <row r="36" spans="1:16" x14ac:dyDescent="0.25">
      <c r="A36" t="s">
        <v>88</v>
      </c>
      <c r="B36" t="s">
        <v>191</v>
      </c>
      <c r="C36" t="s">
        <v>18</v>
      </c>
      <c r="D36" t="s">
        <v>18</v>
      </c>
      <c r="E36" t="s">
        <v>191</v>
      </c>
      <c r="F36" t="s">
        <v>191</v>
      </c>
      <c r="G36" t="s">
        <v>18</v>
      </c>
      <c r="H36" t="s">
        <v>191</v>
      </c>
      <c r="I36" t="str">
        <f t="shared" si="0"/>
        <v>Tue - Wed - Sat</v>
      </c>
      <c r="J36" s="37">
        <v>0.125</v>
      </c>
      <c r="K36" s="37">
        <v>0.21875</v>
      </c>
      <c r="L36" s="37">
        <v>0</v>
      </c>
      <c r="M36" s="37">
        <v>0.29166666666666669</v>
      </c>
      <c r="N36" t="s">
        <v>20</v>
      </c>
      <c r="O36" t="s">
        <v>191</v>
      </c>
      <c r="P36">
        <v>1</v>
      </c>
    </row>
    <row r="37" spans="1:16" x14ac:dyDescent="0.25">
      <c r="A37" t="s">
        <v>91</v>
      </c>
      <c r="B37" t="s">
        <v>175</v>
      </c>
      <c r="C37" t="s">
        <v>175</v>
      </c>
      <c r="D37" t="s">
        <v>175</v>
      </c>
      <c r="E37" t="s">
        <v>175</v>
      </c>
      <c r="F37" t="s">
        <v>18</v>
      </c>
      <c r="G37" t="s">
        <v>18</v>
      </c>
      <c r="H37" t="s">
        <v>18</v>
      </c>
      <c r="I37" t="str">
        <f t="shared" si="0"/>
        <v>Fri - Sat - Sun</v>
      </c>
      <c r="J37" s="37">
        <v>0.625</v>
      </c>
      <c r="K37" s="37">
        <v>0.875</v>
      </c>
      <c r="L37" s="37">
        <v>0.75</v>
      </c>
      <c r="M37" s="37">
        <v>0.97916666666666663</v>
      </c>
      <c r="N37" t="s">
        <v>27</v>
      </c>
      <c r="O37" t="s">
        <v>175</v>
      </c>
      <c r="P37">
        <v>1</v>
      </c>
    </row>
    <row r="38" spans="1:16" x14ac:dyDescent="0.25">
      <c r="A38" t="s">
        <v>92</v>
      </c>
      <c r="B38" t="s">
        <v>18</v>
      </c>
      <c r="C38" t="s">
        <v>18</v>
      </c>
      <c r="D38" t="s">
        <v>185</v>
      </c>
      <c r="E38" t="s">
        <v>185</v>
      </c>
      <c r="F38" t="s">
        <v>185</v>
      </c>
      <c r="G38" t="s">
        <v>185</v>
      </c>
      <c r="H38" t="s">
        <v>18</v>
      </c>
      <c r="I38" t="str">
        <f t="shared" si="0"/>
        <v>Mon - Tue - Sun</v>
      </c>
      <c r="J38" s="37">
        <v>0.34375</v>
      </c>
      <c r="K38" s="37">
        <v>0.53125</v>
      </c>
      <c r="L38" s="37">
        <v>0.41666666666666669</v>
      </c>
      <c r="M38" s="37">
        <v>0.625</v>
      </c>
      <c r="N38" t="s">
        <v>42</v>
      </c>
      <c r="O38" t="s">
        <v>185</v>
      </c>
      <c r="P38">
        <v>0</v>
      </c>
    </row>
    <row r="39" spans="1:16" x14ac:dyDescent="0.25">
      <c r="A39" t="s">
        <v>93</v>
      </c>
      <c r="B39" t="s">
        <v>179</v>
      </c>
      <c r="C39" t="s">
        <v>179</v>
      </c>
      <c r="D39" t="s">
        <v>179</v>
      </c>
      <c r="E39" t="s">
        <v>18</v>
      </c>
      <c r="F39" t="s">
        <v>179</v>
      </c>
      <c r="G39" t="s">
        <v>18</v>
      </c>
      <c r="H39" t="s">
        <v>18</v>
      </c>
      <c r="I39" t="str">
        <f t="shared" si="0"/>
        <v>Thu - Sat - Sun</v>
      </c>
      <c r="J39" s="37">
        <v>0.45833333333333331</v>
      </c>
      <c r="K39" s="37">
        <v>0.55208333333333337</v>
      </c>
      <c r="L39" s="37">
        <v>0.625</v>
      </c>
      <c r="M39" s="37">
        <v>0.77083333333333337</v>
      </c>
      <c r="N39" t="s">
        <v>38</v>
      </c>
      <c r="O39" t="s">
        <v>179</v>
      </c>
      <c r="P39">
        <v>0</v>
      </c>
    </row>
    <row r="40" spans="1:16" x14ac:dyDescent="0.25">
      <c r="A40" t="s">
        <v>94</v>
      </c>
      <c r="B40" t="s">
        <v>176</v>
      </c>
      <c r="C40" t="s">
        <v>18</v>
      </c>
      <c r="D40" t="s">
        <v>176</v>
      </c>
      <c r="E40" t="s">
        <v>176</v>
      </c>
      <c r="F40" t="s">
        <v>176</v>
      </c>
      <c r="G40" t="s">
        <v>18</v>
      </c>
      <c r="H40" t="s">
        <v>18</v>
      </c>
      <c r="I40" t="str">
        <f t="shared" si="0"/>
        <v>Tue - Sat - Sun</v>
      </c>
      <c r="J40" s="37">
        <v>0.42708333333333331</v>
      </c>
      <c r="K40" s="37">
        <v>0.63541666666666663</v>
      </c>
      <c r="L40" s="37">
        <v>0.51041666666666663</v>
      </c>
      <c r="M40" s="37">
        <v>0.73958333333333337</v>
      </c>
      <c r="N40" t="s">
        <v>20</v>
      </c>
      <c r="O40" t="s">
        <v>176</v>
      </c>
      <c r="P40">
        <v>0</v>
      </c>
    </row>
    <row r="41" spans="1:16" x14ac:dyDescent="0.25">
      <c r="A41" t="s">
        <v>95</v>
      </c>
      <c r="B41" t="s">
        <v>193</v>
      </c>
      <c r="C41" t="s">
        <v>193</v>
      </c>
      <c r="D41" t="s">
        <v>193</v>
      </c>
      <c r="E41" t="s">
        <v>18</v>
      </c>
      <c r="F41" t="s">
        <v>18</v>
      </c>
      <c r="G41" t="s">
        <v>193</v>
      </c>
      <c r="H41" t="s">
        <v>18</v>
      </c>
      <c r="I41" t="str">
        <f t="shared" si="0"/>
        <v>Thu - Fri - Sun</v>
      </c>
      <c r="J41" s="37">
        <v>5.2083333333333336E-2</v>
      </c>
      <c r="K41" s="37">
        <v>0.27083333333333331</v>
      </c>
      <c r="L41" s="37">
        <v>0.125</v>
      </c>
      <c r="M41" s="37">
        <v>0.35416666666666669</v>
      </c>
      <c r="N41" t="s">
        <v>42</v>
      </c>
      <c r="O41" t="s">
        <v>193</v>
      </c>
      <c r="P41">
        <v>1</v>
      </c>
    </row>
    <row r="42" spans="1:16" x14ac:dyDescent="0.25">
      <c r="A42" t="s">
        <v>98</v>
      </c>
      <c r="B42" t="s">
        <v>176</v>
      </c>
      <c r="C42" t="s">
        <v>176</v>
      </c>
      <c r="D42" t="s">
        <v>18</v>
      </c>
      <c r="E42" t="s">
        <v>176</v>
      </c>
      <c r="F42" t="s">
        <v>176</v>
      </c>
      <c r="G42" t="s">
        <v>18</v>
      </c>
      <c r="H42" t="s">
        <v>18</v>
      </c>
      <c r="I42" t="str">
        <f t="shared" si="0"/>
        <v>Wed - Sat - Sun</v>
      </c>
      <c r="J42" s="37">
        <v>0.4375</v>
      </c>
      <c r="K42" s="37">
        <v>0.6875</v>
      </c>
      <c r="L42" s="37">
        <v>0.5625</v>
      </c>
      <c r="M42" s="37">
        <v>0.75</v>
      </c>
      <c r="N42" t="s">
        <v>34</v>
      </c>
      <c r="O42" t="s">
        <v>176</v>
      </c>
      <c r="P42">
        <v>0</v>
      </c>
    </row>
    <row r="43" spans="1:16" x14ac:dyDescent="0.25">
      <c r="A43" t="s">
        <v>99</v>
      </c>
      <c r="B43" t="s">
        <v>18</v>
      </c>
      <c r="C43" t="s">
        <v>194</v>
      </c>
      <c r="D43" t="s">
        <v>194</v>
      </c>
      <c r="E43" t="s">
        <v>194</v>
      </c>
      <c r="F43" t="s">
        <v>194</v>
      </c>
      <c r="G43" t="s">
        <v>18</v>
      </c>
      <c r="H43" t="s">
        <v>18</v>
      </c>
      <c r="I43" t="str">
        <f t="shared" si="0"/>
        <v>Mon - Sat - Sun</v>
      </c>
      <c r="J43" s="37">
        <v>0.8125</v>
      </c>
      <c r="K43" s="37">
        <v>0</v>
      </c>
      <c r="L43" s="37">
        <v>0.90625</v>
      </c>
      <c r="M43" s="37">
        <v>0.10416666666666667</v>
      </c>
      <c r="N43" t="s">
        <v>27</v>
      </c>
      <c r="O43" t="s">
        <v>194</v>
      </c>
      <c r="P43">
        <v>1</v>
      </c>
    </row>
    <row r="44" spans="1:16" x14ac:dyDescent="0.25">
      <c r="A44" t="s">
        <v>101</v>
      </c>
      <c r="B44" t="s">
        <v>176</v>
      </c>
      <c r="C44" t="s">
        <v>176</v>
      </c>
      <c r="D44" t="s">
        <v>18</v>
      </c>
      <c r="E44" t="s">
        <v>176</v>
      </c>
      <c r="F44" t="s">
        <v>176</v>
      </c>
      <c r="G44" t="s">
        <v>18</v>
      </c>
      <c r="H44" t="s">
        <v>18</v>
      </c>
      <c r="I44" t="str">
        <f t="shared" si="0"/>
        <v>Wed - Sat - Sun</v>
      </c>
      <c r="J44" s="37">
        <v>0.41666666666666669</v>
      </c>
      <c r="K44" s="37">
        <v>0.625</v>
      </c>
      <c r="L44" s="37">
        <v>0.5</v>
      </c>
      <c r="M44" s="37">
        <v>0.71875</v>
      </c>
      <c r="N44" t="s">
        <v>20</v>
      </c>
      <c r="O44" t="s">
        <v>176</v>
      </c>
      <c r="P44">
        <v>0</v>
      </c>
    </row>
    <row r="45" spans="1:16" x14ac:dyDescent="0.25">
      <c r="A45" t="s">
        <v>102</v>
      </c>
      <c r="B45" t="s">
        <v>179</v>
      </c>
      <c r="C45" t="s">
        <v>179</v>
      </c>
      <c r="D45" t="s">
        <v>18</v>
      </c>
      <c r="E45" t="s">
        <v>179</v>
      </c>
      <c r="F45" t="s">
        <v>179</v>
      </c>
      <c r="G45" t="s">
        <v>18</v>
      </c>
      <c r="H45" t="s">
        <v>18</v>
      </c>
      <c r="I45" t="str">
        <f t="shared" si="0"/>
        <v>Wed - Sat - Sun</v>
      </c>
      <c r="J45" s="37">
        <v>0.48958333333333331</v>
      </c>
      <c r="K45" s="37">
        <v>0.69791666666666663</v>
      </c>
      <c r="L45" s="37">
        <v>0.57291666666666663</v>
      </c>
      <c r="M45" s="37">
        <v>0.78125</v>
      </c>
      <c r="N45" t="s">
        <v>34</v>
      </c>
      <c r="O45" t="s">
        <v>179</v>
      </c>
      <c r="P45">
        <v>0</v>
      </c>
    </row>
    <row r="46" spans="1:16" x14ac:dyDescent="0.25">
      <c r="A46" t="s">
        <v>103</v>
      </c>
      <c r="B46" t="s">
        <v>179</v>
      </c>
      <c r="C46" t="s">
        <v>179</v>
      </c>
      <c r="D46" t="s">
        <v>179</v>
      </c>
      <c r="E46" t="s">
        <v>179</v>
      </c>
      <c r="F46" t="s">
        <v>18</v>
      </c>
      <c r="G46" t="s">
        <v>18</v>
      </c>
      <c r="H46" t="s">
        <v>18</v>
      </c>
      <c r="I46" t="str">
        <f t="shared" si="0"/>
        <v>Fri - Sat - Sun</v>
      </c>
      <c r="J46" s="37">
        <v>0.45833333333333331</v>
      </c>
      <c r="K46" s="37">
        <v>0.67708333333333337</v>
      </c>
      <c r="L46" s="37">
        <v>0.55208333333333337</v>
      </c>
      <c r="M46" s="37">
        <v>0.77083333333333337</v>
      </c>
      <c r="N46" t="s">
        <v>38</v>
      </c>
      <c r="O46" t="s">
        <v>179</v>
      </c>
      <c r="P46">
        <v>0</v>
      </c>
    </row>
    <row r="47" spans="1:16" x14ac:dyDescent="0.25">
      <c r="A47" t="s">
        <v>104</v>
      </c>
      <c r="B47" t="s">
        <v>18</v>
      </c>
      <c r="C47" t="s">
        <v>18</v>
      </c>
      <c r="D47" t="s">
        <v>195</v>
      </c>
      <c r="E47" t="s">
        <v>195</v>
      </c>
      <c r="F47" t="s">
        <v>195</v>
      </c>
      <c r="G47" t="s">
        <v>195</v>
      </c>
      <c r="H47" t="s">
        <v>18</v>
      </c>
      <c r="I47" t="str">
        <f t="shared" si="0"/>
        <v>Mon - Tue - Sun</v>
      </c>
      <c r="J47" s="37">
        <v>0.85416666666666663</v>
      </c>
      <c r="K47" s="37">
        <v>7.2916666666666671E-2</v>
      </c>
      <c r="L47" s="37">
        <v>0.94791666666666663</v>
      </c>
      <c r="M47" s="37">
        <v>0.17708333333333334</v>
      </c>
      <c r="N47" t="s">
        <v>42</v>
      </c>
      <c r="O47" t="s">
        <v>195</v>
      </c>
      <c r="P47">
        <v>1</v>
      </c>
    </row>
    <row r="48" spans="1:16" x14ac:dyDescent="0.25">
      <c r="A48" t="s">
        <v>107</v>
      </c>
      <c r="B48" t="s">
        <v>179</v>
      </c>
      <c r="C48" t="s">
        <v>179</v>
      </c>
      <c r="D48" t="s">
        <v>18</v>
      </c>
      <c r="E48" t="s">
        <v>179</v>
      </c>
      <c r="F48" t="s">
        <v>179</v>
      </c>
      <c r="G48" t="s">
        <v>18</v>
      </c>
      <c r="H48" t="s">
        <v>18</v>
      </c>
      <c r="I48" t="str">
        <f t="shared" si="0"/>
        <v>Wed - Sat - Sun</v>
      </c>
      <c r="J48" s="37">
        <v>0.47916666666666669</v>
      </c>
      <c r="K48" s="37">
        <v>0.67708333333333337</v>
      </c>
      <c r="L48" s="37">
        <v>0.57291666666666663</v>
      </c>
      <c r="M48" s="37">
        <v>0.78125</v>
      </c>
      <c r="N48" t="s">
        <v>20</v>
      </c>
      <c r="O48" t="s">
        <v>179</v>
      </c>
      <c r="P48">
        <v>0</v>
      </c>
    </row>
    <row r="49" spans="1:16" x14ac:dyDescent="0.25">
      <c r="A49" t="s">
        <v>108</v>
      </c>
      <c r="B49" t="s">
        <v>18</v>
      </c>
      <c r="C49" t="s">
        <v>179</v>
      </c>
      <c r="D49" t="s">
        <v>179</v>
      </c>
      <c r="E49" t="s">
        <v>179</v>
      </c>
      <c r="F49" t="s">
        <v>179</v>
      </c>
      <c r="G49" t="s">
        <v>18</v>
      </c>
      <c r="H49" t="s">
        <v>18</v>
      </c>
      <c r="I49" t="str">
        <f t="shared" si="0"/>
        <v>Mon - Sat - Sun</v>
      </c>
      <c r="J49" s="37">
        <v>0.46875</v>
      </c>
      <c r="K49" s="37">
        <v>0.5625</v>
      </c>
      <c r="L49" s="37">
        <v>0.625</v>
      </c>
      <c r="M49" s="37">
        <v>0.78125</v>
      </c>
      <c r="N49" t="s">
        <v>34</v>
      </c>
      <c r="O49" t="s">
        <v>179</v>
      </c>
      <c r="P49">
        <v>0</v>
      </c>
    </row>
    <row r="50" spans="1:16" x14ac:dyDescent="0.25">
      <c r="A50" t="s">
        <v>109</v>
      </c>
      <c r="B50" t="s">
        <v>186</v>
      </c>
      <c r="C50" t="s">
        <v>186</v>
      </c>
      <c r="D50" t="s">
        <v>18</v>
      </c>
      <c r="E50" t="s">
        <v>18</v>
      </c>
      <c r="F50" t="s">
        <v>18</v>
      </c>
      <c r="G50" t="s">
        <v>186</v>
      </c>
      <c r="H50" t="s">
        <v>186</v>
      </c>
      <c r="I50" t="str">
        <f t="shared" si="0"/>
        <v>Wed - Thu - Fri</v>
      </c>
      <c r="J50" s="37">
        <v>0.29166666666666669</v>
      </c>
      <c r="K50" s="37">
        <v>0.51041666666666663</v>
      </c>
      <c r="L50" s="37">
        <v>0.38541666666666669</v>
      </c>
      <c r="M50" s="37">
        <v>0.61458333333333337</v>
      </c>
      <c r="N50" t="s">
        <v>20</v>
      </c>
      <c r="O50" t="s">
        <v>186</v>
      </c>
      <c r="P50">
        <v>0</v>
      </c>
    </row>
    <row r="51" spans="1:16" x14ac:dyDescent="0.25">
      <c r="A51" t="s">
        <v>110</v>
      </c>
      <c r="B51" t="s">
        <v>18</v>
      </c>
      <c r="C51" t="s">
        <v>18</v>
      </c>
      <c r="D51" t="s">
        <v>18</v>
      </c>
      <c r="E51" t="s">
        <v>178</v>
      </c>
      <c r="F51" t="s">
        <v>178</v>
      </c>
      <c r="G51" t="s">
        <v>178</v>
      </c>
      <c r="H51" t="s">
        <v>178</v>
      </c>
      <c r="I51" t="str">
        <f t="shared" si="0"/>
        <v>Mon - Tue - Wed</v>
      </c>
      <c r="J51" s="37">
        <v>0.91666666666666663</v>
      </c>
      <c r="K51" s="37">
        <v>2.0833333333333332E-2</v>
      </c>
      <c r="L51" s="37">
        <v>0.10416666666666667</v>
      </c>
      <c r="M51" s="37">
        <v>0.25</v>
      </c>
      <c r="N51" t="s">
        <v>42</v>
      </c>
      <c r="O51" t="s">
        <v>178</v>
      </c>
      <c r="P51">
        <v>1</v>
      </c>
    </row>
    <row r="52" spans="1:16" x14ac:dyDescent="0.25">
      <c r="A52" t="s">
        <v>111</v>
      </c>
      <c r="B52" t="s">
        <v>189</v>
      </c>
      <c r="C52" t="s">
        <v>189</v>
      </c>
      <c r="D52" t="s">
        <v>189</v>
      </c>
      <c r="E52" t="s">
        <v>189</v>
      </c>
      <c r="F52" t="s">
        <v>18</v>
      </c>
      <c r="G52" t="s">
        <v>18</v>
      </c>
      <c r="H52" t="s">
        <v>18</v>
      </c>
      <c r="I52" t="str">
        <f t="shared" si="0"/>
        <v>Fri - Sat - Sun</v>
      </c>
      <c r="J52" s="37">
        <v>0</v>
      </c>
      <c r="K52" s="37">
        <v>0.19791666666666666</v>
      </c>
      <c r="L52" s="37">
        <v>9.375E-2</v>
      </c>
      <c r="M52" s="37">
        <v>0.30208333333333331</v>
      </c>
      <c r="N52" t="s">
        <v>27</v>
      </c>
      <c r="O52" t="s">
        <v>189</v>
      </c>
      <c r="P52">
        <v>1</v>
      </c>
    </row>
    <row r="53" spans="1:16" x14ac:dyDescent="0.25">
      <c r="A53" t="s">
        <v>113</v>
      </c>
      <c r="B53" t="s">
        <v>18</v>
      </c>
      <c r="C53" t="s">
        <v>18</v>
      </c>
      <c r="D53" t="s">
        <v>18</v>
      </c>
      <c r="E53" t="s">
        <v>187</v>
      </c>
      <c r="F53" t="s">
        <v>187</v>
      </c>
      <c r="G53" t="s">
        <v>187</v>
      </c>
      <c r="H53" t="s">
        <v>187</v>
      </c>
      <c r="I53" t="str">
        <f t="shared" si="0"/>
        <v>Mon - Tue - Wed</v>
      </c>
      <c r="J53" s="37">
        <v>0.5</v>
      </c>
      <c r="K53" s="37">
        <v>0.72916666666666663</v>
      </c>
      <c r="L53" s="37">
        <v>0.60416666666666663</v>
      </c>
      <c r="M53" s="37">
        <v>0.82291666666666663</v>
      </c>
      <c r="N53" t="s">
        <v>42</v>
      </c>
      <c r="O53" t="s">
        <v>187</v>
      </c>
      <c r="P53">
        <v>0</v>
      </c>
    </row>
    <row r="54" spans="1:16" x14ac:dyDescent="0.25">
      <c r="A54" t="s">
        <v>115</v>
      </c>
      <c r="B54" t="s">
        <v>179</v>
      </c>
      <c r="C54" t="s">
        <v>18</v>
      </c>
      <c r="D54" t="s">
        <v>18</v>
      </c>
      <c r="E54" t="s">
        <v>18</v>
      </c>
      <c r="F54" t="s">
        <v>179</v>
      </c>
      <c r="G54" t="s">
        <v>179</v>
      </c>
      <c r="H54" t="s">
        <v>179</v>
      </c>
      <c r="I54" t="str">
        <f t="shared" si="0"/>
        <v>Tue - Wed - Thu</v>
      </c>
      <c r="J54" s="37">
        <v>0.46875</v>
      </c>
      <c r="K54" s="37">
        <v>0.5625</v>
      </c>
      <c r="L54" s="37">
        <v>0.625</v>
      </c>
      <c r="M54" s="37">
        <v>0.77083333333333337</v>
      </c>
      <c r="N54" t="s">
        <v>42</v>
      </c>
      <c r="O54" t="s">
        <v>179</v>
      </c>
      <c r="P54">
        <v>0</v>
      </c>
    </row>
    <row r="55" spans="1:16" x14ac:dyDescent="0.25">
      <c r="A55" t="s">
        <v>116</v>
      </c>
      <c r="B55" t="s">
        <v>18</v>
      </c>
      <c r="C55" t="s">
        <v>196</v>
      </c>
      <c r="D55" t="s">
        <v>196</v>
      </c>
      <c r="E55" t="s">
        <v>196</v>
      </c>
      <c r="F55" t="s">
        <v>196</v>
      </c>
      <c r="G55" t="s">
        <v>18</v>
      </c>
      <c r="H55" t="s">
        <v>18</v>
      </c>
      <c r="I55" t="str">
        <f t="shared" si="0"/>
        <v>Mon - Sat - Sun</v>
      </c>
      <c r="J55" s="37">
        <v>0.375</v>
      </c>
      <c r="K55" s="37">
        <v>0.58333333333333337</v>
      </c>
      <c r="L55" s="37">
        <v>0.45833333333333331</v>
      </c>
      <c r="M55" s="37">
        <v>0.66666666666666663</v>
      </c>
      <c r="N55" t="s">
        <v>42</v>
      </c>
      <c r="O55" t="s">
        <v>196</v>
      </c>
      <c r="P55">
        <v>0</v>
      </c>
    </row>
    <row r="56" spans="1:16" x14ac:dyDescent="0.25">
      <c r="A56" t="s">
        <v>117</v>
      </c>
      <c r="B56" t="s">
        <v>179</v>
      </c>
      <c r="C56" t="s">
        <v>18</v>
      </c>
      <c r="D56" t="s">
        <v>18</v>
      </c>
      <c r="E56" t="s">
        <v>18</v>
      </c>
      <c r="F56" t="s">
        <v>179</v>
      </c>
      <c r="G56" t="s">
        <v>179</v>
      </c>
      <c r="H56" t="s">
        <v>179</v>
      </c>
      <c r="I56" t="str">
        <f t="shared" si="0"/>
        <v>Tue - Wed - Thu</v>
      </c>
      <c r="J56" s="37">
        <v>0.44791666666666669</v>
      </c>
      <c r="K56" s="37">
        <v>0.65625</v>
      </c>
      <c r="L56" s="37">
        <v>0.52083333333333337</v>
      </c>
      <c r="M56" s="37">
        <v>0.76041666666666663</v>
      </c>
      <c r="N56" t="s">
        <v>38</v>
      </c>
      <c r="O56" t="s">
        <v>179</v>
      </c>
      <c r="P56">
        <v>0</v>
      </c>
    </row>
    <row r="57" spans="1:16" x14ac:dyDescent="0.25">
      <c r="A57" t="s">
        <v>118</v>
      </c>
      <c r="B57" t="s">
        <v>194</v>
      </c>
      <c r="C57" t="s">
        <v>194</v>
      </c>
      <c r="D57" t="s">
        <v>194</v>
      </c>
      <c r="E57" t="s">
        <v>18</v>
      </c>
      <c r="F57" t="s">
        <v>18</v>
      </c>
      <c r="G57" t="s">
        <v>18</v>
      </c>
      <c r="H57" t="s">
        <v>194</v>
      </c>
      <c r="I57" t="str">
        <f t="shared" si="0"/>
        <v>Thu - Fri - Sat</v>
      </c>
      <c r="J57" s="37">
        <v>0.8125</v>
      </c>
      <c r="K57" s="37">
        <v>1.0416666666666666E-2</v>
      </c>
      <c r="L57" s="37">
        <v>0.89583333333333337</v>
      </c>
      <c r="M57" s="37">
        <v>0.11458333333333333</v>
      </c>
      <c r="N57" t="s">
        <v>42</v>
      </c>
      <c r="O57" t="s">
        <v>194</v>
      </c>
      <c r="P57">
        <v>1</v>
      </c>
    </row>
    <row r="58" spans="1:16" x14ac:dyDescent="0.25">
      <c r="A58" t="s">
        <v>119</v>
      </c>
      <c r="B58" t="s">
        <v>192</v>
      </c>
      <c r="C58" t="s">
        <v>192</v>
      </c>
      <c r="D58" t="s">
        <v>18</v>
      </c>
      <c r="E58" t="s">
        <v>18</v>
      </c>
      <c r="F58" t="s">
        <v>18</v>
      </c>
      <c r="G58" t="s">
        <v>192</v>
      </c>
      <c r="H58" t="s">
        <v>192</v>
      </c>
      <c r="I58" t="str">
        <f t="shared" si="0"/>
        <v>Wed - Thu - Fri</v>
      </c>
      <c r="J58" s="37">
        <v>8.3333333333333329E-2</v>
      </c>
      <c r="K58" s="37">
        <v>0.16666666666666666</v>
      </c>
      <c r="L58" s="37">
        <v>0.29166666666666669</v>
      </c>
      <c r="M58" s="37">
        <v>0.41666666666666669</v>
      </c>
      <c r="N58" t="s">
        <v>121</v>
      </c>
      <c r="O58" t="s">
        <v>192</v>
      </c>
      <c r="P58">
        <v>0</v>
      </c>
    </row>
    <row r="59" spans="1:16" x14ac:dyDescent="0.25">
      <c r="A59" t="s">
        <v>122</v>
      </c>
      <c r="B59" t="s">
        <v>18</v>
      </c>
      <c r="C59" t="s">
        <v>18</v>
      </c>
      <c r="D59" t="s">
        <v>197</v>
      </c>
      <c r="E59" t="s">
        <v>197</v>
      </c>
      <c r="F59" t="s">
        <v>18</v>
      </c>
      <c r="G59" t="s">
        <v>197</v>
      </c>
      <c r="H59" t="s">
        <v>197</v>
      </c>
      <c r="I59" t="str">
        <f t="shared" si="0"/>
        <v>Mon - Tue - Fri</v>
      </c>
      <c r="J59" s="37">
        <v>5.2083333333333336E-2</v>
      </c>
      <c r="K59" s="37">
        <v>0.27083333333333331</v>
      </c>
      <c r="L59" s="37">
        <v>0.14583333333333334</v>
      </c>
      <c r="M59" s="37">
        <v>0.36458333333333331</v>
      </c>
      <c r="N59" t="s">
        <v>38</v>
      </c>
      <c r="O59" t="s">
        <v>197</v>
      </c>
      <c r="P59">
        <v>1</v>
      </c>
    </row>
    <row r="60" spans="1:16" x14ac:dyDescent="0.25">
      <c r="A60" t="s">
        <v>125</v>
      </c>
      <c r="B60" t="s">
        <v>18</v>
      </c>
      <c r="C60" t="s">
        <v>18</v>
      </c>
      <c r="D60" t="s">
        <v>179</v>
      </c>
      <c r="E60" t="s">
        <v>179</v>
      </c>
      <c r="F60" t="s">
        <v>179</v>
      </c>
      <c r="G60" t="s">
        <v>179</v>
      </c>
      <c r="H60" t="s">
        <v>18</v>
      </c>
      <c r="I60" t="str">
        <f t="shared" si="0"/>
        <v>Mon - Tue - Sun</v>
      </c>
      <c r="J60" s="37">
        <v>0.46875</v>
      </c>
      <c r="K60" s="37">
        <v>0.72916666666666663</v>
      </c>
      <c r="L60" s="37">
        <v>0.5625</v>
      </c>
      <c r="M60" s="37">
        <v>0.79166666666666663</v>
      </c>
      <c r="N60" t="s">
        <v>27</v>
      </c>
      <c r="O60" t="s">
        <v>179</v>
      </c>
      <c r="P60">
        <v>0</v>
      </c>
    </row>
    <row r="61" spans="1:16" x14ac:dyDescent="0.25">
      <c r="A61" t="s">
        <v>126</v>
      </c>
      <c r="B61" t="s">
        <v>196</v>
      </c>
      <c r="C61" t="s">
        <v>196</v>
      </c>
      <c r="D61" t="s">
        <v>18</v>
      </c>
      <c r="E61" t="s">
        <v>18</v>
      </c>
      <c r="F61" t="s">
        <v>18</v>
      </c>
      <c r="G61" t="s">
        <v>196</v>
      </c>
      <c r="H61" t="s">
        <v>196</v>
      </c>
      <c r="I61" t="str">
        <f t="shared" si="0"/>
        <v>Wed - Thu - Fri</v>
      </c>
      <c r="J61" s="37">
        <v>0.36458333333333331</v>
      </c>
      <c r="K61" s="37">
        <v>0.57291666666666663</v>
      </c>
      <c r="L61" s="37">
        <v>0.44791666666666669</v>
      </c>
      <c r="M61" s="37">
        <v>0.67708333333333337</v>
      </c>
      <c r="N61" t="s">
        <v>34</v>
      </c>
      <c r="O61" t="s">
        <v>196</v>
      </c>
      <c r="P61">
        <v>0</v>
      </c>
    </row>
    <row r="62" spans="1:16" x14ac:dyDescent="0.25">
      <c r="A62" t="s">
        <v>128</v>
      </c>
      <c r="B62" t="s">
        <v>198</v>
      </c>
      <c r="C62" t="s">
        <v>198</v>
      </c>
      <c r="D62" t="s">
        <v>18</v>
      </c>
      <c r="E62" t="s">
        <v>18</v>
      </c>
      <c r="F62" t="s">
        <v>18</v>
      </c>
      <c r="G62" t="s">
        <v>198</v>
      </c>
      <c r="H62" t="s">
        <v>198</v>
      </c>
      <c r="I62" t="str">
        <f t="shared" si="0"/>
        <v>Wed - Thu - Fri</v>
      </c>
      <c r="J62" s="37">
        <v>0.53125</v>
      </c>
      <c r="K62" s="37">
        <v>0.76041666666666663</v>
      </c>
      <c r="L62" s="37">
        <v>0.64583333333333337</v>
      </c>
      <c r="M62" s="37">
        <v>0.875</v>
      </c>
      <c r="N62" t="s">
        <v>34</v>
      </c>
      <c r="O62" t="s">
        <v>198</v>
      </c>
      <c r="P62">
        <v>0</v>
      </c>
    </row>
    <row r="63" spans="1:16" x14ac:dyDescent="0.25">
      <c r="A63" t="s">
        <v>130</v>
      </c>
      <c r="B63" t="s">
        <v>179</v>
      </c>
      <c r="C63" t="s">
        <v>179</v>
      </c>
      <c r="D63" t="s">
        <v>179</v>
      </c>
      <c r="E63" t="s">
        <v>18</v>
      </c>
      <c r="F63" t="s">
        <v>179</v>
      </c>
      <c r="G63" t="s">
        <v>18</v>
      </c>
      <c r="H63" t="s">
        <v>18</v>
      </c>
      <c r="I63" t="str">
        <f t="shared" si="0"/>
        <v>Thu - Sat - Sun</v>
      </c>
      <c r="J63" s="37">
        <v>0.48958333333333331</v>
      </c>
      <c r="K63" s="37">
        <v>0.72916666666666663</v>
      </c>
      <c r="L63" s="37">
        <v>0.60416666666666663</v>
      </c>
      <c r="M63" s="37">
        <v>0.8125</v>
      </c>
      <c r="N63" t="s">
        <v>38</v>
      </c>
      <c r="O63" t="s">
        <v>179</v>
      </c>
      <c r="P63">
        <v>0</v>
      </c>
    </row>
    <row r="64" spans="1:16" x14ac:dyDescent="0.25">
      <c r="A64" t="s">
        <v>131</v>
      </c>
      <c r="B64" t="s">
        <v>18</v>
      </c>
      <c r="C64" t="s">
        <v>196</v>
      </c>
      <c r="D64" t="s">
        <v>196</v>
      </c>
      <c r="E64" t="s">
        <v>196</v>
      </c>
      <c r="F64" t="s">
        <v>196</v>
      </c>
      <c r="G64" t="s">
        <v>18</v>
      </c>
      <c r="H64" t="s">
        <v>18</v>
      </c>
      <c r="I64" t="str">
        <f t="shared" si="0"/>
        <v>Mon - Sat - Sun</v>
      </c>
      <c r="J64" s="37">
        <v>0.375</v>
      </c>
      <c r="K64" s="37">
        <v>0.59375</v>
      </c>
      <c r="L64" s="37">
        <v>0.45833333333333331</v>
      </c>
      <c r="M64" s="37">
        <v>0.67708333333333337</v>
      </c>
      <c r="N64" t="s">
        <v>42</v>
      </c>
      <c r="O64" t="s">
        <v>196</v>
      </c>
      <c r="P64">
        <v>0</v>
      </c>
    </row>
    <row r="65" spans="1:16" x14ac:dyDescent="0.25">
      <c r="A65" t="s">
        <v>132</v>
      </c>
      <c r="B65" t="s">
        <v>196</v>
      </c>
      <c r="C65" t="s">
        <v>196</v>
      </c>
      <c r="D65" t="s">
        <v>196</v>
      </c>
      <c r="E65" t="s">
        <v>196</v>
      </c>
      <c r="F65" t="s">
        <v>18</v>
      </c>
      <c r="G65" t="s">
        <v>18</v>
      </c>
      <c r="H65" t="s">
        <v>18</v>
      </c>
      <c r="I65" t="str">
        <f t="shared" si="0"/>
        <v>Fri - Sat - Sun</v>
      </c>
      <c r="J65" s="37">
        <v>0.375</v>
      </c>
      <c r="K65" s="37">
        <v>0.47916666666666669</v>
      </c>
      <c r="L65" s="37">
        <v>0.58333333333333337</v>
      </c>
      <c r="M65" s="37">
        <v>0.67708333333333337</v>
      </c>
      <c r="N65" t="s">
        <v>27</v>
      </c>
      <c r="O65" t="s">
        <v>196</v>
      </c>
      <c r="P65">
        <v>0</v>
      </c>
    </row>
    <row r="66" spans="1:16" x14ac:dyDescent="0.25">
      <c r="A66" t="s">
        <v>133</v>
      </c>
      <c r="B66" t="s">
        <v>176</v>
      </c>
      <c r="C66" t="s">
        <v>18</v>
      </c>
      <c r="D66" t="s">
        <v>176</v>
      </c>
      <c r="E66" t="s">
        <v>176</v>
      </c>
      <c r="F66" t="s">
        <v>176</v>
      </c>
      <c r="G66" t="s">
        <v>18</v>
      </c>
      <c r="H66" t="s">
        <v>18</v>
      </c>
      <c r="I66" t="str">
        <f t="shared" si="0"/>
        <v>Tue - Sat - Sun</v>
      </c>
      <c r="J66" s="37">
        <v>0.42708333333333331</v>
      </c>
      <c r="K66" s="37">
        <v>0.64583333333333337</v>
      </c>
      <c r="L66" s="37">
        <v>0.51041666666666663</v>
      </c>
      <c r="M66" s="37">
        <v>0.76041666666666663</v>
      </c>
      <c r="N66" t="s">
        <v>38</v>
      </c>
      <c r="O66" t="s">
        <v>176</v>
      </c>
      <c r="P66">
        <v>0</v>
      </c>
    </row>
  </sheetData>
  <conditionalFormatting sqref="B1:H1048576">
    <cfRule type="containsText" dxfId="0" priority="1" operator="containsText" text="OFF">
      <formula>NOT(ISERROR(SEARCH("OFF",B1)))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B8D28-F6A6-432B-84C0-FFA783F84593}">
  <dimension ref="A1:P66"/>
  <sheetViews>
    <sheetView workbookViewId="0">
      <selection activeCell="H1" sqref="H1"/>
    </sheetView>
  </sheetViews>
  <sheetFormatPr defaultRowHeight="15" x14ac:dyDescent="0.25"/>
  <cols>
    <col min="1" max="1" width="27.140625" customWidth="1"/>
    <col min="2" max="2" width="18.5703125" customWidth="1"/>
    <col min="3" max="3" width="17.42578125" customWidth="1"/>
    <col min="4" max="4" width="13.7109375" customWidth="1"/>
    <col min="5" max="5" width="11.28515625" customWidth="1"/>
    <col min="7" max="8" width="17.5703125" bestFit="1" customWidth="1"/>
    <col min="9" max="9" width="15" customWidth="1"/>
    <col min="10" max="11" width="9.5703125" style="37" customWidth="1"/>
    <col min="12" max="12" width="9.140625" style="37"/>
    <col min="13" max="13" width="9.5703125" style="37" customWidth="1"/>
    <col min="14" max="14" width="20.28515625" customWidth="1"/>
    <col min="15" max="15" width="18.5703125" bestFit="1" customWidth="1"/>
    <col min="16" max="16" width="9.8554687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t="s">
        <v>13</v>
      </c>
      <c r="O1" t="s">
        <v>134</v>
      </c>
      <c r="P1" t="s">
        <v>135</v>
      </c>
    </row>
    <row r="2" spans="1:16" x14ac:dyDescent="0.25">
      <c r="A2" t="str">
        <f>Table3[[#This Row],[Name]]</f>
        <v>Aireen Balanon</v>
      </c>
      <c r="B2" t="str">
        <f>IFERROR(TEXT(TIMEVALUE(LEFT(Table3[[#This Row],[Monday]],5)),"h:mm AM/PM")&amp;" - "&amp;TEXT(TIMEVALUE(RIGHT(Table3[[#This Row],[Monday]],5)),"h:mm AM/PM"),"OFF")</f>
        <v>1:00 pm - 12:00 am</v>
      </c>
      <c r="C2" t="str">
        <f>IFERROR(TEXT(TIMEVALUE(LEFT(Table3[[#This Row],[Tuesday]],5)),"h:mm AM/PM")&amp;" - "&amp;TEXT(TIMEVALUE(RIGHT(Table3[[#This Row],[Tuesday]],5)),"h:mm AM/PM"),"OFF")</f>
        <v>1:00 pm - 12:00 am</v>
      </c>
      <c r="D2" t="str">
        <f>IFERROR(TEXT(TIMEVALUE(LEFT(Table3[[#This Row],[Wednesday]],5)),"h:mm AM/PM")&amp;" - "&amp;TEXT(TIMEVALUE(RIGHT(Table3[[#This Row],[Wednesday]],5)),"h:mm AM/PM"),"OFF")</f>
        <v>OFF</v>
      </c>
      <c r="E2" t="str">
        <f>IFERROR(TEXT(TIMEVALUE(LEFT(Table3[[#This Row],[Thursday]],5)),"h:mm AM/PM")&amp;" - "&amp;TEXT(TIMEVALUE(RIGHT(Table3[[#This Row],[Thursday]],5)),"h:mm AM/PM"),"OFF")</f>
        <v>OFF</v>
      </c>
      <c r="F2" t="str">
        <f>IFERROR(TEXT(TIMEVALUE(LEFT(Table3[[#This Row],[Friday]],5)),"h:mm AM/PM")&amp;" - "&amp;TEXT(TIMEVALUE(RIGHT(Table3[[#This Row],[Friday]],5)),"h:mm AM/PM"),"OFF")</f>
        <v>OFF</v>
      </c>
      <c r="G2" t="str">
        <f>IFERROR(TEXT(TIMEVALUE(LEFT(Table3[[#This Row],[Saturday]],5)),"h:mm AM/PM")&amp;" - "&amp;TEXT(TIMEVALUE(RIGHT(Table3[[#This Row],[Saturday]],5)),"h:mm AM/PM"),"OFF")</f>
        <v>1:00 pm - 12:00 am</v>
      </c>
      <c r="H2" t="str">
        <f>IFERROR(TEXT(TIMEVALUE(LEFT(Table3[[#This Row],[Sunday]],5)),"h:mm AM/PM")&amp;" - "&amp;TEXT(TIMEVALUE(RIGHT(Table3[[#This Row],[Sunday]],5)),"h:mm AM/PM"),"OFF")</f>
        <v>1:00 pm - 12:00 am</v>
      </c>
      <c r="I2" t="str">
        <f>_xlfn.TEXTJOIN(" - ",TRUE,
IF(B2="OFF","Mon",""),
IF(C2="OFF","Tue",""),
IF(D2="OFF","Wed",""),
IF(E2="OFF","Thu",""),
IF(F2="OFF","Fri",""),
IF(G2="OFF","Sat",""),
IF(H2="OFF","Sun",""))</f>
        <v>Wed - Thu - Fri</v>
      </c>
      <c r="J2" s="37">
        <f>Table3[[#This Row],[Break 1]]</f>
        <v>0.625</v>
      </c>
      <c r="K2" s="37">
        <f>Table3[[#This Row],[Break 2]]</f>
        <v>0.85416666666666674</v>
      </c>
      <c r="L2" s="37">
        <f>Table3[[#This Row],[Lunch]]</f>
        <v>0.76041666666666674</v>
      </c>
      <c r="M2" s="37">
        <f>Table3[[#This Row],[Break 3]]</f>
        <v>0.94791666666666674</v>
      </c>
      <c r="N2" t="str">
        <f>Table3[[#This Row],[Supervisor]]</f>
        <v>Remmo Panaligan</v>
      </c>
      <c r="O2" t="str">
        <f>IFERROR(TEXT(TIMEVALUE(LEFT(Table3[[#This Row],[PH SHIFT]],5)),"h:mm AM/PM")&amp;" - "&amp;TEXT(TIMEVALUE(RIGHT(Table3[[#This Row],[PH SHIFT]],5)),"h:mm AM/PM"),"OFF")</f>
        <v>1:00 pm - 12:00 am</v>
      </c>
      <c r="P2">
        <f t="shared" ref="P2:P65" si="0">IF(O2="OFF",0,IF(ISNUMBER(SEARCH("pm",LEFT(O2,FIND(" - ",O2)-1))),1,0))</f>
        <v>1</v>
      </c>
    </row>
    <row r="3" spans="1:16" x14ac:dyDescent="0.25">
      <c r="A3" t="str">
        <f>Table3[[#This Row],[Name]]</f>
        <v>Alec Christian Palabay</v>
      </c>
      <c r="B3" t="str">
        <f>IFERROR(TEXT(TIMEVALUE(LEFT(Table3[[#This Row],[Monday]],5)),"h:mm AM/PM")&amp;" - "&amp;TEXT(TIMEVALUE(RIGHT(Table3[[#This Row],[Monday]],5)),"h:mm AM/PM"),"OFF")</f>
        <v>1:00 am - 12:00 pm</v>
      </c>
      <c r="C3" t="str">
        <f>IFERROR(TEXT(TIMEVALUE(LEFT(Table3[[#This Row],[Tuesday]],5)),"h:mm AM/PM")&amp;" - "&amp;TEXT(TIMEVALUE(RIGHT(Table3[[#This Row],[Tuesday]],5)),"h:mm AM/PM"),"OFF")</f>
        <v>1:00 am - 12:00 pm</v>
      </c>
      <c r="D3" t="str">
        <f>IFERROR(TEXT(TIMEVALUE(LEFT(Table3[[#This Row],[Wednesday]],5)),"h:mm AM/PM")&amp;" - "&amp;TEXT(TIMEVALUE(RIGHT(Table3[[#This Row],[Wednesday]],5)),"h:mm AM/PM"),"OFF")</f>
        <v>1:00 am - 12:00 pm</v>
      </c>
      <c r="E3" t="str">
        <f>IFERROR(TEXT(TIMEVALUE(LEFT(Table3[[#This Row],[Thursday]],5)),"h:mm AM/PM")&amp;" - "&amp;TEXT(TIMEVALUE(RIGHT(Table3[[#This Row],[Thursday]],5)),"h:mm AM/PM"),"OFF")</f>
        <v>1:00 am - 12:00 pm</v>
      </c>
      <c r="F3" t="str">
        <f>IFERROR(TEXT(TIMEVALUE(LEFT(Table3[[#This Row],[Friday]],5)),"h:mm AM/PM")&amp;" - "&amp;TEXT(TIMEVALUE(RIGHT(Table3[[#This Row],[Friday]],5)),"h:mm AM/PM"),"OFF")</f>
        <v>OFF</v>
      </c>
      <c r="G3" t="str">
        <f>IFERROR(TEXT(TIMEVALUE(LEFT(Table3[[#This Row],[Saturday]],5)),"h:mm AM/PM")&amp;" - "&amp;TEXT(TIMEVALUE(RIGHT(Table3[[#This Row],[Saturday]],5)),"h:mm AM/PM"),"OFF")</f>
        <v>OFF</v>
      </c>
      <c r="H3" t="str">
        <f>IFERROR(TEXT(TIMEVALUE(LEFT(Table3[[#This Row],[Sunday]],5)),"h:mm AM/PM")&amp;" - "&amp;TEXT(TIMEVALUE(RIGHT(Table3[[#This Row],[Sunday]],5)),"h:mm AM/PM"),"OFF")</f>
        <v>OFF</v>
      </c>
      <c r="I3" t="str">
        <f t="shared" ref="I3:I66" si="1">_xlfn.TEXTJOIN(" - ",TRUE,
IF(B3="OFF","Mon",""),
IF(C3="OFF","Tue",""),
IF(D3="OFF","Wed",""),
IF(E3="OFF","Thu",""),
IF(F3="OFF","Fri",""),
IF(G3="OFF","Sat",""),
IF(H3="OFF","Sun",""))</f>
        <v>Fri - Sat - Sun</v>
      </c>
      <c r="J3" s="37">
        <f>Table3[[#This Row],[Break 1]]</f>
        <v>0.11458333333333348</v>
      </c>
      <c r="K3" s="37">
        <f>Table3[[#This Row],[Break 2]]</f>
        <v>0.3125</v>
      </c>
      <c r="L3" s="37">
        <f>Table3[[#This Row],[Lunch]]</f>
        <v>0.1875</v>
      </c>
      <c r="M3" s="37">
        <f>Table3[[#This Row],[Break 3]]</f>
        <v>0.41666666666666652</v>
      </c>
      <c r="N3" t="str">
        <f>Table3[[#This Row],[Supervisor]]</f>
        <v>Remmo Panaligan</v>
      </c>
      <c r="O3" t="str">
        <f>IFERROR(TEXT(TIMEVALUE(LEFT(Table3[[#This Row],[PH SHIFT]],5)),"h:mm AM/PM")&amp;" - "&amp;TEXT(TIMEVALUE(RIGHT(Table3[[#This Row],[PH SHIFT]],5)),"h:mm AM/PM"),"OFF")</f>
        <v>1:00 am - 12:00 pm</v>
      </c>
      <c r="P3">
        <f t="shared" si="0"/>
        <v>0</v>
      </c>
    </row>
    <row r="4" spans="1:16" x14ac:dyDescent="0.25">
      <c r="A4" t="str">
        <f>Table3[[#This Row],[Name]]</f>
        <v>Andrei Mark Llenos</v>
      </c>
      <c r="B4" t="str">
        <f>IFERROR(TEXT(TIMEVALUE(LEFT(Table3[[#This Row],[Monday]],5)),"h:mm AM/PM")&amp;" - "&amp;TEXT(TIMEVALUE(RIGHT(Table3[[#This Row],[Monday]],5)),"h:mm AM/PM"),"OFF")</f>
        <v>8:00 pm - 7:00 am</v>
      </c>
      <c r="C4" t="str">
        <f>IFERROR(TEXT(TIMEVALUE(LEFT(Table3[[#This Row],[Tuesday]],5)),"h:mm AM/PM")&amp;" - "&amp;TEXT(TIMEVALUE(RIGHT(Table3[[#This Row],[Tuesday]],5)),"h:mm AM/PM"),"OFF")</f>
        <v>8:00 pm - 7:00 am</v>
      </c>
      <c r="D4" t="str">
        <f>IFERROR(TEXT(TIMEVALUE(LEFT(Table3[[#This Row],[Wednesday]],5)),"h:mm AM/PM")&amp;" - "&amp;TEXT(TIMEVALUE(RIGHT(Table3[[#This Row],[Wednesday]],5)),"h:mm AM/PM"),"OFF")</f>
        <v>8:00 pm - 7:00 am</v>
      </c>
      <c r="E4" t="str">
        <f>IFERROR(TEXT(TIMEVALUE(LEFT(Table3[[#This Row],[Thursday]],5)),"h:mm AM/PM")&amp;" - "&amp;TEXT(TIMEVALUE(RIGHT(Table3[[#This Row],[Thursday]],5)),"h:mm AM/PM"),"OFF")</f>
        <v>OFF</v>
      </c>
      <c r="F4" t="str">
        <f>IFERROR(TEXT(TIMEVALUE(LEFT(Table3[[#This Row],[Friday]],5)),"h:mm AM/PM")&amp;" - "&amp;TEXT(TIMEVALUE(RIGHT(Table3[[#This Row],[Friday]],5)),"h:mm AM/PM"),"OFF")</f>
        <v>8:00 pm - 7:00 am</v>
      </c>
      <c r="G4" t="str">
        <f>IFERROR(TEXT(TIMEVALUE(LEFT(Table3[[#This Row],[Saturday]],5)),"h:mm AM/PM")&amp;" - "&amp;TEXT(TIMEVALUE(RIGHT(Table3[[#This Row],[Saturday]],5)),"h:mm AM/PM"),"OFF")</f>
        <v>OFF</v>
      </c>
      <c r="H4" t="str">
        <f>IFERROR(TEXT(TIMEVALUE(LEFT(Table3[[#This Row],[Sunday]],5)),"h:mm AM/PM")&amp;" - "&amp;TEXT(TIMEVALUE(RIGHT(Table3[[#This Row],[Sunday]],5)),"h:mm AM/PM"),"OFF")</f>
        <v>OFF</v>
      </c>
      <c r="I4" t="str">
        <f t="shared" si="1"/>
        <v>Thu - Sat - Sun</v>
      </c>
      <c r="J4" s="37">
        <f>Table3[[#This Row],[Break 1]]</f>
        <v>0.89583333333333326</v>
      </c>
      <c r="K4" s="37">
        <f>Table3[[#This Row],[Break 2]]</f>
        <v>0.10416666666666652</v>
      </c>
      <c r="L4" s="37">
        <f>Table3[[#This Row],[Lunch]]</f>
        <v>0.97916666666666674</v>
      </c>
      <c r="M4" s="37">
        <f>Table3[[#This Row],[Break 3]]</f>
        <v>0.23958333333333348</v>
      </c>
      <c r="N4" t="str">
        <f>Table3[[#This Row],[Supervisor]]</f>
        <v>Manilyn Abellar</v>
      </c>
      <c r="O4" t="str">
        <f>IFERROR(TEXT(TIMEVALUE(LEFT(Table3[[#This Row],[PH SHIFT]],5)),"h:mm AM/PM")&amp;" - "&amp;TEXT(TIMEVALUE(RIGHT(Table3[[#This Row],[PH SHIFT]],5)),"h:mm AM/PM"),"OFF")</f>
        <v>8:00 pm - 7:00 am</v>
      </c>
      <c r="P4">
        <f t="shared" si="0"/>
        <v>1</v>
      </c>
    </row>
    <row r="5" spans="1:16" x14ac:dyDescent="0.25">
      <c r="A5" t="str">
        <f>Table3[[#This Row],[Name]]</f>
        <v>Antonio Agda</v>
      </c>
      <c r="B5" t="str">
        <f>IFERROR(TEXT(TIMEVALUE(LEFT(Table3[[#This Row],[Monday]],5)),"h:mm AM/PM")&amp;" - "&amp;TEXT(TIMEVALUE(RIGHT(Table3[[#This Row],[Monday]],5)),"h:mm AM/PM"),"OFF")</f>
        <v>7:30 pm - 6:30 am</v>
      </c>
      <c r="C5" t="str">
        <f>IFERROR(TEXT(TIMEVALUE(LEFT(Table3[[#This Row],[Tuesday]],5)),"h:mm AM/PM")&amp;" - "&amp;TEXT(TIMEVALUE(RIGHT(Table3[[#This Row],[Tuesday]],5)),"h:mm AM/PM"),"OFF")</f>
        <v>7:30 pm - 6:30 am</v>
      </c>
      <c r="D5" t="str">
        <f>IFERROR(TEXT(TIMEVALUE(LEFT(Table3[[#This Row],[Wednesday]],5)),"h:mm AM/PM")&amp;" - "&amp;TEXT(TIMEVALUE(RIGHT(Table3[[#This Row],[Wednesday]],5)),"h:mm AM/PM"),"OFF")</f>
        <v>7:30 pm - 6:30 am</v>
      </c>
      <c r="E5" t="str">
        <f>IFERROR(TEXT(TIMEVALUE(LEFT(Table3[[#This Row],[Thursday]],5)),"h:mm AM/PM")&amp;" - "&amp;TEXT(TIMEVALUE(RIGHT(Table3[[#This Row],[Thursday]],5)),"h:mm AM/PM"),"OFF")</f>
        <v>7:30 pm - 6:30 am</v>
      </c>
      <c r="F5" t="str">
        <f>IFERROR(TEXT(TIMEVALUE(LEFT(Table3[[#This Row],[Friday]],5)),"h:mm AM/PM")&amp;" - "&amp;TEXT(TIMEVALUE(RIGHT(Table3[[#This Row],[Friday]],5)),"h:mm AM/PM"),"OFF")</f>
        <v>OFF</v>
      </c>
      <c r="G5" t="str">
        <f>IFERROR(TEXT(TIMEVALUE(LEFT(Table3[[#This Row],[Saturday]],5)),"h:mm AM/PM")&amp;" - "&amp;TEXT(TIMEVALUE(RIGHT(Table3[[#This Row],[Saturday]],5)),"h:mm AM/PM"),"OFF")</f>
        <v>OFF</v>
      </c>
      <c r="H5" t="str">
        <f>IFERROR(TEXT(TIMEVALUE(LEFT(Table3[[#This Row],[Sunday]],5)),"h:mm AM/PM")&amp;" - "&amp;TEXT(TIMEVALUE(RIGHT(Table3[[#This Row],[Sunday]],5)),"h:mm AM/PM"),"OFF")</f>
        <v>OFF</v>
      </c>
      <c r="I5" t="str">
        <f t="shared" si="1"/>
        <v>Fri - Sat - Sun</v>
      </c>
      <c r="J5" s="37">
        <f>Table3[[#This Row],[Break 1]]</f>
        <v>0.91666666666666674</v>
      </c>
      <c r="K5" s="37">
        <f>Table3[[#This Row],[Break 2]]</f>
        <v>0.14583333333333348</v>
      </c>
      <c r="L5" s="37">
        <f>Table3[[#This Row],[Lunch]]</f>
        <v>0</v>
      </c>
      <c r="M5" s="37">
        <f>Table3[[#This Row],[Break 3]]</f>
        <v>0.25</v>
      </c>
      <c r="N5" t="str">
        <f>Table3[[#This Row],[Supervisor]]</f>
        <v>Manilyn Abellar</v>
      </c>
      <c r="O5" t="str">
        <f>IFERROR(TEXT(TIMEVALUE(LEFT(Table3[[#This Row],[PH SHIFT]],5)),"h:mm AM/PM")&amp;" - "&amp;TEXT(TIMEVALUE(RIGHT(Table3[[#This Row],[PH SHIFT]],5)),"h:mm AM/PM"),"OFF")</f>
        <v>12:00 am - 11:00 am</v>
      </c>
      <c r="P5">
        <f t="shared" si="0"/>
        <v>0</v>
      </c>
    </row>
    <row r="6" spans="1:16" x14ac:dyDescent="0.25">
      <c r="A6" t="str">
        <f>Table3[[#This Row],[Name]]</f>
        <v>Aysha Sagira Macalandong</v>
      </c>
      <c r="B6" t="str">
        <f>IFERROR(TEXT(TIMEVALUE(LEFT(Table3[[#This Row],[Monday]],5)),"h:mm AM/PM")&amp;" - "&amp;TEXT(TIMEVALUE(RIGHT(Table3[[#This Row],[Monday]],5)),"h:mm AM/PM"),"OFF")</f>
        <v>8:00 am - 7:00 pm</v>
      </c>
      <c r="C6" t="str">
        <f>IFERROR(TEXT(TIMEVALUE(LEFT(Table3[[#This Row],[Tuesday]],5)),"h:mm AM/PM")&amp;" - "&amp;TEXT(TIMEVALUE(RIGHT(Table3[[#This Row],[Tuesday]],5)),"h:mm AM/PM"),"OFF")</f>
        <v>OFF</v>
      </c>
      <c r="D6" t="str">
        <f>IFERROR(TEXT(TIMEVALUE(LEFT(Table3[[#This Row],[Wednesday]],5)),"h:mm AM/PM")&amp;" - "&amp;TEXT(TIMEVALUE(RIGHT(Table3[[#This Row],[Wednesday]],5)),"h:mm AM/PM"),"OFF")</f>
        <v>OFF</v>
      </c>
      <c r="E6" t="str">
        <f>IFERROR(TEXT(TIMEVALUE(LEFT(Table3[[#This Row],[Thursday]],5)),"h:mm AM/PM")&amp;" - "&amp;TEXT(TIMEVALUE(RIGHT(Table3[[#This Row],[Thursday]],5)),"h:mm AM/PM"),"OFF")</f>
        <v>OFF</v>
      </c>
      <c r="F6" t="str">
        <f>IFERROR(TEXT(TIMEVALUE(LEFT(Table3[[#This Row],[Friday]],5)),"h:mm AM/PM")&amp;" - "&amp;TEXT(TIMEVALUE(RIGHT(Table3[[#This Row],[Friday]],5)),"h:mm AM/PM"),"OFF")</f>
        <v>8:00 am - 7:00 pm</v>
      </c>
      <c r="G6" t="str">
        <f>IFERROR(TEXT(TIMEVALUE(LEFT(Table3[[#This Row],[Saturday]],5)),"h:mm AM/PM")&amp;" - "&amp;TEXT(TIMEVALUE(RIGHT(Table3[[#This Row],[Saturday]],5)),"h:mm AM/PM"),"OFF")</f>
        <v>8:00 am - 7:00 pm</v>
      </c>
      <c r="H6" t="str">
        <f>IFERROR(TEXT(TIMEVALUE(LEFT(Table3[[#This Row],[Sunday]],5)),"h:mm AM/PM")&amp;" - "&amp;TEXT(TIMEVALUE(RIGHT(Table3[[#This Row],[Sunday]],5)),"h:mm AM/PM"),"OFF")</f>
        <v>8:00 am - 7:00 pm</v>
      </c>
      <c r="I6" t="str">
        <f t="shared" si="1"/>
        <v>Tue - Wed - Thu</v>
      </c>
      <c r="J6" s="37">
        <f>Table3[[#This Row],[Break 1]]</f>
        <v>0.42708333333333348</v>
      </c>
      <c r="K6" s="37">
        <f>Table3[[#This Row],[Break 2]]</f>
        <v>0.51041666666666663</v>
      </c>
      <c r="L6" s="37">
        <f>Table3[[#This Row],[Lunch]]</f>
        <v>0.6875</v>
      </c>
      <c r="M6" s="37">
        <f>Table3[[#This Row],[Break 3]]</f>
        <v>0.60416666666666663</v>
      </c>
      <c r="N6" t="str">
        <f>Table3[[#This Row],[Supervisor]]</f>
        <v>Michael Dominguez</v>
      </c>
      <c r="O6" t="str">
        <f>IFERROR(TEXT(TIMEVALUE(LEFT(Table3[[#This Row],[PH SHIFT]],5)),"h:mm AM/PM")&amp;" - "&amp;TEXT(TIMEVALUE(RIGHT(Table3[[#This Row],[PH SHIFT]],5)),"h:mm AM/PM"),"OFF")</f>
        <v>8:00 am - 7:00 pm</v>
      </c>
      <c r="P6">
        <f t="shared" si="0"/>
        <v>0</v>
      </c>
    </row>
    <row r="7" spans="1:16" x14ac:dyDescent="0.25">
      <c r="A7" t="str">
        <f>Table3[[#This Row],[Name]]</f>
        <v>Azilean Khrista Almazan</v>
      </c>
      <c r="B7" t="str">
        <f>IFERROR(TEXT(TIMEVALUE(LEFT(Table3[[#This Row],[Monday]],5)),"h:mm AM/PM")&amp;" - "&amp;TEXT(TIMEVALUE(RIGHT(Table3[[#This Row],[Monday]],5)),"h:mm AM/PM"),"OFF")</f>
        <v>OFF</v>
      </c>
      <c r="C7" t="str">
        <f>IFERROR(TEXT(TIMEVALUE(LEFT(Table3[[#This Row],[Tuesday]],5)),"h:mm AM/PM")&amp;" - "&amp;TEXT(TIMEVALUE(RIGHT(Table3[[#This Row],[Tuesday]],5)),"h:mm AM/PM"),"OFF")</f>
        <v>OFF</v>
      </c>
      <c r="D7" t="str">
        <f>IFERROR(TEXT(TIMEVALUE(LEFT(Table3[[#This Row],[Wednesday]],5)),"h:mm AM/PM")&amp;" - "&amp;TEXT(TIMEVALUE(RIGHT(Table3[[#This Row],[Wednesday]],5)),"h:mm AM/PM"),"OFF")</f>
        <v>9:00 pm - 8:00 am</v>
      </c>
      <c r="E7" t="str">
        <f>IFERROR(TEXT(TIMEVALUE(LEFT(Table3[[#This Row],[Thursday]],5)),"h:mm AM/PM")&amp;" - "&amp;TEXT(TIMEVALUE(RIGHT(Table3[[#This Row],[Thursday]],5)),"h:mm AM/PM"),"OFF")</f>
        <v>9:00 pm - 8:00 am</v>
      </c>
      <c r="F7" t="str">
        <f>IFERROR(TEXT(TIMEVALUE(LEFT(Table3[[#This Row],[Friday]],5)),"h:mm AM/PM")&amp;" - "&amp;TEXT(TIMEVALUE(RIGHT(Table3[[#This Row],[Friday]],5)),"h:mm AM/PM"),"OFF")</f>
        <v>9:00 pm - 8:00 am</v>
      </c>
      <c r="G7" t="str">
        <f>IFERROR(TEXT(TIMEVALUE(LEFT(Table3[[#This Row],[Saturday]],5)),"h:mm AM/PM")&amp;" - "&amp;TEXT(TIMEVALUE(RIGHT(Table3[[#This Row],[Saturday]],5)),"h:mm AM/PM"),"OFF")</f>
        <v>9:00 pm - 8:00 am</v>
      </c>
      <c r="H7" t="str">
        <f>IFERROR(TEXT(TIMEVALUE(LEFT(Table3[[#This Row],[Sunday]],5)),"h:mm AM/PM")&amp;" - "&amp;TEXT(TIMEVALUE(RIGHT(Table3[[#This Row],[Sunday]],5)),"h:mm AM/PM"),"OFF")</f>
        <v>OFF</v>
      </c>
      <c r="I7" t="str">
        <f t="shared" si="1"/>
        <v>Mon - Tue - Sun</v>
      </c>
      <c r="J7" s="37">
        <f>Table3[[#This Row],[Break 1]]</f>
        <v>0.95833333333333326</v>
      </c>
      <c r="K7" s="37">
        <f>Table3[[#This Row],[Break 2]]</f>
        <v>5.2083333333333481E-2</v>
      </c>
      <c r="L7" s="37">
        <f>Table3[[#This Row],[Lunch]]</f>
        <v>0.1875</v>
      </c>
      <c r="M7" s="37">
        <f>Table3[[#This Row],[Break 3]]</f>
        <v>0.28125</v>
      </c>
      <c r="N7" t="str">
        <f>Table3[[#This Row],[Supervisor]]</f>
        <v>Anmecha Valencia</v>
      </c>
      <c r="O7" t="str">
        <f>IFERROR(TEXT(TIMEVALUE(LEFT(Table3[[#This Row],[PH SHIFT]],5)),"h:mm AM/PM")&amp;" - "&amp;TEXT(TIMEVALUE(RIGHT(Table3[[#This Row],[PH SHIFT]],5)),"h:mm AM/PM"),"OFF")</f>
        <v>9:00 pm - 8:00 am</v>
      </c>
      <c r="P7">
        <f t="shared" si="0"/>
        <v>1</v>
      </c>
    </row>
    <row r="8" spans="1:16" x14ac:dyDescent="0.25">
      <c r="A8" t="str">
        <f>Table3[[#This Row],[Name]]</f>
        <v>Benedict Ermitano</v>
      </c>
      <c r="B8" t="str">
        <f>IFERROR(TEXT(TIMEVALUE(LEFT(Table3[[#This Row],[Monday]],5)),"h:mm AM/PM")&amp;" - "&amp;TEXT(TIMEVALUE(RIGHT(Table3[[#This Row],[Monday]],5)),"h:mm AM/PM"),"OFF")</f>
        <v>9:00 pm - 8:00 am</v>
      </c>
      <c r="C8" t="str">
        <f>IFERROR(TEXT(TIMEVALUE(LEFT(Table3[[#This Row],[Tuesday]],5)),"h:mm AM/PM")&amp;" - "&amp;TEXT(TIMEVALUE(RIGHT(Table3[[#This Row],[Tuesday]],5)),"h:mm AM/PM"),"OFF")</f>
        <v>9:00 pm - 8:00 am</v>
      </c>
      <c r="D8" t="str">
        <f>IFERROR(TEXT(TIMEVALUE(LEFT(Table3[[#This Row],[Wednesday]],5)),"h:mm AM/PM")&amp;" - "&amp;TEXT(TIMEVALUE(RIGHT(Table3[[#This Row],[Wednesday]],5)),"h:mm AM/PM"),"OFF")</f>
        <v>9:00 pm - 8:00 am</v>
      </c>
      <c r="E8" t="str">
        <f>IFERROR(TEXT(TIMEVALUE(LEFT(Table3[[#This Row],[Thursday]],5)),"h:mm AM/PM")&amp;" - "&amp;TEXT(TIMEVALUE(RIGHT(Table3[[#This Row],[Thursday]],5)),"h:mm AM/PM"),"OFF")</f>
        <v>OFF</v>
      </c>
      <c r="F8" t="str">
        <f>IFERROR(TEXT(TIMEVALUE(LEFT(Table3[[#This Row],[Friday]],5)),"h:mm AM/PM")&amp;" - "&amp;TEXT(TIMEVALUE(RIGHT(Table3[[#This Row],[Friday]],5)),"h:mm AM/PM"),"OFF")</f>
        <v>9:00 pm - 8:00 am</v>
      </c>
      <c r="G8" t="str">
        <f>IFERROR(TEXT(TIMEVALUE(LEFT(Table3[[#This Row],[Saturday]],5)),"h:mm AM/PM")&amp;" - "&amp;TEXT(TIMEVALUE(RIGHT(Table3[[#This Row],[Saturday]],5)),"h:mm AM/PM"),"OFF")</f>
        <v>OFF</v>
      </c>
      <c r="H8" t="str">
        <f>IFERROR(TEXT(TIMEVALUE(LEFT(Table3[[#This Row],[Sunday]],5)),"h:mm AM/PM")&amp;" - "&amp;TEXT(TIMEVALUE(RIGHT(Table3[[#This Row],[Sunday]],5)),"h:mm AM/PM"),"OFF")</f>
        <v>OFF</v>
      </c>
      <c r="I8" t="str">
        <f t="shared" si="1"/>
        <v>Thu - Sat - Sun</v>
      </c>
      <c r="J8" s="37">
        <f>Table3[[#This Row],[Break 1]]</f>
        <v>0.9375</v>
      </c>
      <c r="K8" s="37">
        <f>Table3[[#This Row],[Break 2]]</f>
        <v>0.15625</v>
      </c>
      <c r="L8" s="37">
        <f>Table3[[#This Row],[Lunch]]</f>
        <v>3.125E-2</v>
      </c>
      <c r="M8" s="37">
        <f>Table3[[#This Row],[Break 3]]</f>
        <v>0.25</v>
      </c>
      <c r="N8" t="str">
        <f>Table3[[#This Row],[Supervisor]]</f>
        <v>Michael Dominguez</v>
      </c>
      <c r="O8" t="str">
        <f>IFERROR(TEXT(TIMEVALUE(LEFT(Table3[[#This Row],[PH SHIFT]],5)),"h:mm AM/PM")&amp;" - "&amp;TEXT(TIMEVALUE(RIGHT(Table3[[#This Row],[PH SHIFT]],5)),"h:mm AM/PM"),"OFF")</f>
        <v>6:00 am - 5:00 pm</v>
      </c>
      <c r="P8">
        <f t="shared" si="0"/>
        <v>0</v>
      </c>
    </row>
    <row r="9" spans="1:16" x14ac:dyDescent="0.25">
      <c r="A9" t="str">
        <f>Table3[[#This Row],[Name]]</f>
        <v>Carlos Kiamco</v>
      </c>
      <c r="B9" t="str">
        <f>IFERROR(TEXT(TIMEVALUE(LEFT(Table3[[#This Row],[Monday]],5)),"h:mm AM/PM")&amp;" - "&amp;TEXT(TIMEVALUE(RIGHT(Table3[[#This Row],[Monday]],5)),"h:mm AM/PM"),"OFF")</f>
        <v>9:00 pm - 8:00 am</v>
      </c>
      <c r="C9" t="str">
        <f>IFERROR(TEXT(TIMEVALUE(LEFT(Table3[[#This Row],[Tuesday]],5)),"h:mm AM/PM")&amp;" - "&amp;TEXT(TIMEVALUE(RIGHT(Table3[[#This Row],[Tuesday]],5)),"h:mm AM/PM"),"OFF")</f>
        <v>OFF</v>
      </c>
      <c r="D9" t="str">
        <f>IFERROR(TEXT(TIMEVALUE(LEFT(Table3[[#This Row],[Wednesday]],5)),"h:mm AM/PM")&amp;" - "&amp;TEXT(TIMEVALUE(RIGHT(Table3[[#This Row],[Wednesday]],5)),"h:mm AM/PM"),"OFF")</f>
        <v>OFF</v>
      </c>
      <c r="E9" t="str">
        <f>IFERROR(TEXT(TIMEVALUE(LEFT(Table3[[#This Row],[Thursday]],5)),"h:mm AM/PM")&amp;" - "&amp;TEXT(TIMEVALUE(RIGHT(Table3[[#This Row],[Thursday]],5)),"h:mm AM/PM"),"OFF")</f>
        <v>OFF</v>
      </c>
      <c r="F9" t="str">
        <f>IFERROR(TEXT(TIMEVALUE(LEFT(Table3[[#This Row],[Friday]],5)),"h:mm AM/PM")&amp;" - "&amp;TEXT(TIMEVALUE(RIGHT(Table3[[#This Row],[Friday]],5)),"h:mm AM/PM"),"OFF")</f>
        <v>9:00 pm - 8:00 am</v>
      </c>
      <c r="G9" t="str">
        <f>IFERROR(TEXT(TIMEVALUE(LEFT(Table3[[#This Row],[Saturday]],5)),"h:mm AM/PM")&amp;" - "&amp;TEXT(TIMEVALUE(RIGHT(Table3[[#This Row],[Saturday]],5)),"h:mm AM/PM"),"OFF")</f>
        <v>9:00 pm - 8:00 am</v>
      </c>
      <c r="H9" t="str">
        <f>IFERROR(TEXT(TIMEVALUE(LEFT(Table3[[#This Row],[Sunday]],5)),"h:mm AM/PM")&amp;" - "&amp;TEXT(TIMEVALUE(RIGHT(Table3[[#This Row],[Sunday]],5)),"h:mm AM/PM"),"OFF")</f>
        <v>9:00 pm - 8:00 am</v>
      </c>
      <c r="I9" t="str">
        <f t="shared" si="1"/>
        <v>Tue - Wed - Thu</v>
      </c>
      <c r="J9" s="37">
        <f>Table3[[#This Row],[Break 1]]</f>
        <v>0.375</v>
      </c>
      <c r="K9" s="37">
        <f>Table3[[#This Row],[Break 2]]</f>
        <v>0.45833333333333348</v>
      </c>
      <c r="L9" s="37">
        <f>Table3[[#This Row],[Lunch]]</f>
        <v>0.5625</v>
      </c>
      <c r="M9" s="37">
        <f>Table3[[#This Row],[Break 3]]</f>
        <v>0.6875</v>
      </c>
      <c r="N9" t="str">
        <f>Table3[[#This Row],[Supervisor]]</f>
        <v>Manilyn Abellar</v>
      </c>
      <c r="O9" t="str">
        <f>IFERROR(TEXT(TIMEVALUE(LEFT(Table3[[#This Row],[PH SHIFT]],5)),"h:mm AM/PM")&amp;" - "&amp;TEXT(TIMEVALUE(RIGHT(Table3[[#This Row],[PH SHIFT]],5)),"h:mm AM/PM"),"OFF")</f>
        <v>7:00 am - 6:00 pm</v>
      </c>
      <c r="P9">
        <f t="shared" si="0"/>
        <v>0</v>
      </c>
    </row>
    <row r="10" spans="1:16" x14ac:dyDescent="0.25">
      <c r="A10" t="str">
        <f>Table3[[#This Row],[Name]]</f>
        <v>Charisse Capuno</v>
      </c>
      <c r="B10" t="str">
        <f>IFERROR(TEXT(TIMEVALUE(LEFT(Table3[[#This Row],[Monday]],5)),"h:mm AM/PM")&amp;" - "&amp;TEXT(TIMEVALUE(RIGHT(Table3[[#This Row],[Monday]],5)),"h:mm AM/PM"),"OFF")</f>
        <v>9:00 pm - 8:00 am</v>
      </c>
      <c r="C10" t="str">
        <f>IFERROR(TEXT(TIMEVALUE(LEFT(Table3[[#This Row],[Tuesday]],5)),"h:mm AM/PM")&amp;" - "&amp;TEXT(TIMEVALUE(RIGHT(Table3[[#This Row],[Tuesday]],5)),"h:mm AM/PM"),"OFF")</f>
        <v>OFF</v>
      </c>
      <c r="D10" t="str">
        <f>IFERROR(TEXT(TIMEVALUE(LEFT(Table3[[#This Row],[Wednesday]],5)),"h:mm AM/PM")&amp;" - "&amp;TEXT(TIMEVALUE(RIGHT(Table3[[#This Row],[Wednesday]],5)),"h:mm AM/PM"),"OFF")</f>
        <v>9:00 pm - 8:00 am</v>
      </c>
      <c r="E10" t="str">
        <f>IFERROR(TEXT(TIMEVALUE(LEFT(Table3[[#This Row],[Thursday]],5)),"h:mm AM/PM")&amp;" - "&amp;TEXT(TIMEVALUE(RIGHT(Table3[[#This Row],[Thursday]],5)),"h:mm AM/PM"),"OFF")</f>
        <v>9:00 pm - 8:00 am</v>
      </c>
      <c r="F10" t="str">
        <f>IFERROR(TEXT(TIMEVALUE(LEFT(Table3[[#This Row],[Friday]],5)),"h:mm AM/PM")&amp;" - "&amp;TEXT(TIMEVALUE(RIGHT(Table3[[#This Row],[Friday]],5)),"h:mm AM/PM"),"OFF")</f>
        <v>9:00 pm - 8:00 am</v>
      </c>
      <c r="G10" t="str">
        <f>IFERROR(TEXT(TIMEVALUE(LEFT(Table3[[#This Row],[Saturday]],5)),"h:mm AM/PM")&amp;" - "&amp;TEXT(TIMEVALUE(RIGHT(Table3[[#This Row],[Saturday]],5)),"h:mm AM/PM"),"OFF")</f>
        <v>OFF</v>
      </c>
      <c r="H10" t="str">
        <f>IFERROR(TEXT(TIMEVALUE(LEFT(Table3[[#This Row],[Sunday]],5)),"h:mm AM/PM")&amp;" - "&amp;TEXT(TIMEVALUE(RIGHT(Table3[[#This Row],[Sunday]],5)),"h:mm AM/PM"),"OFF")</f>
        <v>OFF</v>
      </c>
      <c r="I10" t="str">
        <f t="shared" si="1"/>
        <v>Tue - Sat - Sun</v>
      </c>
      <c r="J10" s="37">
        <f>Table3[[#This Row],[Break 1]]</f>
        <v>0.96875</v>
      </c>
      <c r="K10" s="37">
        <f>Table3[[#This Row],[Break 2]]</f>
        <v>6.25E-2</v>
      </c>
      <c r="L10" s="37">
        <f>Table3[[#This Row],[Lunch]]</f>
        <v>0.25</v>
      </c>
      <c r="M10" s="37">
        <f>Table3[[#This Row],[Break 3]]</f>
        <v>0.15625</v>
      </c>
      <c r="N10" t="str">
        <f>Table3[[#This Row],[Supervisor]]</f>
        <v>Anmecha Valencia</v>
      </c>
      <c r="O10" t="str">
        <f>IFERROR(TEXT(TIMEVALUE(LEFT(Table3[[#This Row],[PH SHIFT]],5)),"h:mm AM/PM")&amp;" - "&amp;TEXT(TIMEVALUE(RIGHT(Table3[[#This Row],[PH SHIFT]],5)),"h:mm AM/PM"),"OFF")</f>
        <v>9:00 pm - 8:00 am</v>
      </c>
      <c r="P10">
        <f t="shared" si="0"/>
        <v>1</v>
      </c>
    </row>
    <row r="11" spans="1:16" x14ac:dyDescent="0.25">
      <c r="A11" t="str">
        <f>Table3[[#This Row],[Name]]</f>
        <v>Chris Paul Dalut</v>
      </c>
      <c r="B11" t="str">
        <f>IFERROR(TEXT(TIMEVALUE(LEFT(Table3[[#This Row],[Monday]],5)),"h:mm AM/PM")&amp;" - "&amp;TEXT(TIMEVALUE(RIGHT(Table3[[#This Row],[Monday]],5)),"h:mm AM/PM"),"OFF")</f>
        <v>3:00 pm - 2:00 am</v>
      </c>
      <c r="C11" t="str">
        <f>IFERROR(TEXT(TIMEVALUE(LEFT(Table3[[#This Row],[Tuesday]],5)),"h:mm AM/PM")&amp;" - "&amp;TEXT(TIMEVALUE(RIGHT(Table3[[#This Row],[Tuesday]],5)),"h:mm AM/PM"),"OFF")</f>
        <v>3:00 pm - 2:00 am</v>
      </c>
      <c r="D11" t="str">
        <f>IFERROR(TEXT(TIMEVALUE(LEFT(Table3[[#This Row],[Wednesday]],5)),"h:mm AM/PM")&amp;" - "&amp;TEXT(TIMEVALUE(RIGHT(Table3[[#This Row],[Wednesday]],5)),"h:mm AM/PM"),"OFF")</f>
        <v>OFF</v>
      </c>
      <c r="E11" t="str">
        <f>IFERROR(TEXT(TIMEVALUE(LEFT(Table3[[#This Row],[Thursday]],5)),"h:mm AM/PM")&amp;" - "&amp;TEXT(TIMEVALUE(RIGHT(Table3[[#This Row],[Thursday]],5)),"h:mm AM/PM"),"OFF")</f>
        <v>3:00 pm - 2:00 am</v>
      </c>
      <c r="F11" t="str">
        <f>IFERROR(TEXT(TIMEVALUE(LEFT(Table3[[#This Row],[Friday]],5)),"h:mm AM/PM")&amp;" - "&amp;TEXT(TIMEVALUE(RIGHT(Table3[[#This Row],[Friday]],5)),"h:mm AM/PM"),"OFF")</f>
        <v>3:00 pm - 2:00 am</v>
      </c>
      <c r="G11" t="str">
        <f>IFERROR(TEXT(TIMEVALUE(LEFT(Table3[[#This Row],[Saturday]],5)),"h:mm AM/PM")&amp;" - "&amp;TEXT(TIMEVALUE(RIGHT(Table3[[#This Row],[Saturday]],5)),"h:mm AM/PM"),"OFF")</f>
        <v>OFF</v>
      </c>
      <c r="H11" t="str">
        <f>IFERROR(TEXT(TIMEVALUE(LEFT(Table3[[#This Row],[Sunday]],5)),"h:mm AM/PM")&amp;" - "&amp;TEXT(TIMEVALUE(RIGHT(Table3[[#This Row],[Sunday]],5)),"h:mm AM/PM"),"OFF")</f>
        <v>OFF</v>
      </c>
      <c r="I11" t="str">
        <f t="shared" si="1"/>
        <v>Wed - Sat - Sun</v>
      </c>
      <c r="J11" s="37">
        <f>Table3[[#This Row],[Break 1]]</f>
        <v>0.79166666666666674</v>
      </c>
      <c r="K11" s="37">
        <f>Table3[[#This Row],[Break 2]]</f>
        <v>1.0416666666666519E-2</v>
      </c>
      <c r="L11" s="37">
        <f>Table3[[#This Row],[Lunch]]</f>
        <v>0.88541666666666674</v>
      </c>
      <c r="M11" s="37">
        <f>Table3[[#This Row],[Break 3]]</f>
        <v>0.11458333333333348</v>
      </c>
      <c r="N11" t="str">
        <f>Table3[[#This Row],[Supervisor]]</f>
        <v>Remmo Panaligan</v>
      </c>
      <c r="O11" t="str">
        <f>IFERROR(TEXT(TIMEVALUE(LEFT(Table3[[#This Row],[PH SHIFT]],5)),"h:mm AM/PM")&amp;" - "&amp;TEXT(TIMEVALUE(RIGHT(Table3[[#This Row],[PH SHIFT]],5)),"h:mm AM/PM"),"OFF")</f>
        <v>8:00 am - 7:00 pm</v>
      </c>
      <c r="P11">
        <f t="shared" si="0"/>
        <v>0</v>
      </c>
    </row>
    <row r="12" spans="1:16" x14ac:dyDescent="0.25">
      <c r="A12" t="str">
        <f>Table3[[#This Row],[Name]]</f>
        <v>Christian Lajera</v>
      </c>
      <c r="B12" t="str">
        <f>IFERROR(TEXT(TIMEVALUE(LEFT(Table3[[#This Row],[Monday]],5)),"h:mm AM/PM")&amp;" - "&amp;TEXT(TIMEVALUE(RIGHT(Table3[[#This Row],[Monday]],5)),"h:mm AM/PM"),"OFF")</f>
        <v>OFF</v>
      </c>
      <c r="C12" t="str">
        <f>IFERROR(TEXT(TIMEVALUE(LEFT(Table3[[#This Row],[Tuesday]],5)),"h:mm AM/PM")&amp;" - "&amp;TEXT(TIMEVALUE(RIGHT(Table3[[#This Row],[Tuesday]],5)),"h:mm AM/PM"),"OFF")</f>
        <v>9:00 pm - 8:00 am</v>
      </c>
      <c r="D12" t="str">
        <f>IFERROR(TEXT(TIMEVALUE(LEFT(Table3[[#This Row],[Wednesday]],5)),"h:mm AM/PM")&amp;" - "&amp;TEXT(TIMEVALUE(RIGHT(Table3[[#This Row],[Wednesday]],5)),"h:mm AM/PM"),"OFF")</f>
        <v>9:00 pm - 8:00 am</v>
      </c>
      <c r="E12" t="str">
        <f>IFERROR(TEXT(TIMEVALUE(LEFT(Table3[[#This Row],[Thursday]],5)),"h:mm AM/PM")&amp;" - "&amp;TEXT(TIMEVALUE(RIGHT(Table3[[#This Row],[Thursday]],5)),"h:mm AM/PM"),"OFF")</f>
        <v>9:00 pm - 8:00 am</v>
      </c>
      <c r="F12" t="str">
        <f>IFERROR(TEXT(TIMEVALUE(LEFT(Table3[[#This Row],[Friday]],5)),"h:mm AM/PM")&amp;" - "&amp;TEXT(TIMEVALUE(RIGHT(Table3[[#This Row],[Friday]],5)),"h:mm AM/PM"),"OFF")</f>
        <v>9:00 pm - 8:00 am</v>
      </c>
      <c r="G12" t="str">
        <f>IFERROR(TEXT(TIMEVALUE(LEFT(Table3[[#This Row],[Saturday]],5)),"h:mm AM/PM")&amp;" - "&amp;TEXT(TIMEVALUE(RIGHT(Table3[[#This Row],[Saturday]],5)),"h:mm AM/PM"),"OFF")</f>
        <v>OFF</v>
      </c>
      <c r="H12" t="str">
        <f>IFERROR(TEXT(TIMEVALUE(LEFT(Table3[[#This Row],[Sunday]],5)),"h:mm AM/PM")&amp;" - "&amp;TEXT(TIMEVALUE(RIGHT(Table3[[#This Row],[Sunday]],5)),"h:mm AM/PM"),"OFF")</f>
        <v>OFF</v>
      </c>
      <c r="I12" t="str">
        <f t="shared" si="1"/>
        <v>Mon - Sat - Sun</v>
      </c>
      <c r="J12" s="37">
        <f>Table3[[#This Row],[Break 1]]</f>
        <v>0.83333333333333326</v>
      </c>
      <c r="K12" s="37">
        <f>Table3[[#This Row],[Break 2]]</f>
        <v>5.2083333333333481E-2</v>
      </c>
      <c r="L12" s="37">
        <f>Table3[[#This Row],[Lunch]]</f>
        <v>0.92708333333333326</v>
      </c>
      <c r="M12" s="37">
        <f>Table3[[#This Row],[Break 3]]</f>
        <v>0.14583333333333348</v>
      </c>
      <c r="N12" t="str">
        <f>Table3[[#This Row],[Supervisor]]</f>
        <v>Remmo Panaligan</v>
      </c>
      <c r="O12" t="str">
        <f>IFERROR(TEXT(TIMEVALUE(LEFT(Table3[[#This Row],[PH SHIFT]],5)),"h:mm AM/PM")&amp;" - "&amp;TEXT(TIMEVALUE(RIGHT(Table3[[#This Row],[PH SHIFT]],5)),"h:mm AM/PM"),"OFF")</f>
        <v>9:00 am - 8:00 pm</v>
      </c>
      <c r="P12">
        <f t="shared" si="0"/>
        <v>0</v>
      </c>
    </row>
    <row r="13" spans="1:16" x14ac:dyDescent="0.25">
      <c r="A13" t="str">
        <f>Table3[[#This Row],[Name]]</f>
        <v>Cleendy Cerilla</v>
      </c>
      <c r="B13" t="str">
        <f>IFERROR(TEXT(TIMEVALUE(LEFT(Table3[[#This Row],[Monday]],5)),"h:mm AM/PM")&amp;" - "&amp;TEXT(TIMEVALUE(RIGHT(Table3[[#This Row],[Monday]],5)),"h:mm AM/PM"),"OFF")</f>
        <v>7:30 pm - 6:30 am</v>
      </c>
      <c r="C13" t="str">
        <f>IFERROR(TEXT(TIMEVALUE(LEFT(Table3[[#This Row],[Tuesday]],5)),"h:mm AM/PM")&amp;" - "&amp;TEXT(TIMEVALUE(RIGHT(Table3[[#This Row],[Tuesday]],5)),"h:mm AM/PM"),"OFF")</f>
        <v>7:30 pm - 6:30 am</v>
      </c>
      <c r="D13" t="str">
        <f>IFERROR(TEXT(TIMEVALUE(LEFT(Table3[[#This Row],[Wednesday]],5)),"h:mm AM/PM")&amp;" - "&amp;TEXT(TIMEVALUE(RIGHT(Table3[[#This Row],[Wednesday]],5)),"h:mm AM/PM"),"OFF")</f>
        <v>7:30 pm - 6:30 am</v>
      </c>
      <c r="E13" t="str">
        <f>IFERROR(TEXT(TIMEVALUE(LEFT(Table3[[#This Row],[Thursday]],5)),"h:mm AM/PM")&amp;" - "&amp;TEXT(TIMEVALUE(RIGHT(Table3[[#This Row],[Thursday]],5)),"h:mm AM/PM"),"OFF")</f>
        <v>7:30 pm - 6:30 am</v>
      </c>
      <c r="F13" t="str">
        <f>IFERROR(TEXT(TIMEVALUE(LEFT(Table3[[#This Row],[Friday]],5)),"h:mm AM/PM")&amp;" - "&amp;TEXT(TIMEVALUE(RIGHT(Table3[[#This Row],[Friday]],5)),"h:mm AM/PM"),"OFF")</f>
        <v>OFF</v>
      </c>
      <c r="G13" t="str">
        <f>IFERROR(TEXT(TIMEVALUE(LEFT(Table3[[#This Row],[Saturday]],5)),"h:mm AM/PM")&amp;" - "&amp;TEXT(TIMEVALUE(RIGHT(Table3[[#This Row],[Saturday]],5)),"h:mm AM/PM"),"OFF")</f>
        <v>OFF</v>
      </c>
      <c r="H13" t="str">
        <f>IFERROR(TEXT(TIMEVALUE(LEFT(Table3[[#This Row],[Sunday]],5)),"h:mm AM/PM")&amp;" - "&amp;TEXT(TIMEVALUE(RIGHT(Table3[[#This Row],[Sunday]],5)),"h:mm AM/PM"),"OFF")</f>
        <v>OFF</v>
      </c>
      <c r="I13" t="str">
        <f t="shared" si="1"/>
        <v>Fri - Sat - Sun</v>
      </c>
      <c r="J13" s="37">
        <f>Table3[[#This Row],[Break 1]]</f>
        <v>0.65625</v>
      </c>
      <c r="K13" s="37">
        <f>Table3[[#This Row],[Break 2]]</f>
        <v>0.875</v>
      </c>
      <c r="L13" s="37">
        <f>Table3[[#This Row],[Lunch]]</f>
        <v>0.75</v>
      </c>
      <c r="M13" s="37">
        <f>Table3[[#This Row],[Break 3]]</f>
        <v>0.97916666666666674</v>
      </c>
      <c r="N13" t="str">
        <f>Table3[[#This Row],[Supervisor]]</f>
        <v>Christopher Rodas</v>
      </c>
      <c r="O13" t="str">
        <f>IFERROR(TEXT(TIMEVALUE(LEFT(Table3[[#This Row],[PH SHIFT]],5)),"h:mm AM/PM")&amp;" - "&amp;TEXT(TIMEVALUE(RIGHT(Table3[[#This Row],[PH SHIFT]],5)),"h:mm AM/PM"),"OFF")</f>
        <v>10:00 am - 9:00 pm</v>
      </c>
      <c r="P13">
        <f t="shared" si="0"/>
        <v>0</v>
      </c>
    </row>
    <row r="14" spans="1:16" x14ac:dyDescent="0.25">
      <c r="A14" t="str">
        <f>Table3[[#This Row],[Name]]</f>
        <v>Crisma Vic Melecio</v>
      </c>
      <c r="B14" t="str">
        <f>IFERROR(TEXT(TIMEVALUE(LEFT(Table3[[#This Row],[Monday]],5)),"h:mm AM/PM")&amp;" - "&amp;TEXT(TIMEVALUE(RIGHT(Table3[[#This Row],[Monday]],5)),"h:mm AM/PM"),"OFF")</f>
        <v>7:00 am - 6:00 pm</v>
      </c>
      <c r="C14" t="str">
        <f>IFERROR(TEXT(TIMEVALUE(LEFT(Table3[[#This Row],[Tuesday]],5)),"h:mm AM/PM")&amp;" - "&amp;TEXT(TIMEVALUE(RIGHT(Table3[[#This Row],[Tuesday]],5)),"h:mm AM/PM"),"OFF")</f>
        <v>OFF</v>
      </c>
      <c r="D14" t="str">
        <f>IFERROR(TEXT(TIMEVALUE(LEFT(Table3[[#This Row],[Wednesday]],5)),"h:mm AM/PM")&amp;" - "&amp;TEXT(TIMEVALUE(RIGHT(Table3[[#This Row],[Wednesday]],5)),"h:mm AM/PM"),"OFF")</f>
        <v>OFF</v>
      </c>
      <c r="E14" t="str">
        <f>IFERROR(TEXT(TIMEVALUE(LEFT(Table3[[#This Row],[Thursday]],5)),"h:mm AM/PM")&amp;" - "&amp;TEXT(TIMEVALUE(RIGHT(Table3[[#This Row],[Thursday]],5)),"h:mm AM/PM"),"OFF")</f>
        <v>OFF</v>
      </c>
      <c r="F14" t="str">
        <f>IFERROR(TEXT(TIMEVALUE(LEFT(Table3[[#This Row],[Friday]],5)),"h:mm AM/PM")&amp;" - "&amp;TEXT(TIMEVALUE(RIGHT(Table3[[#This Row],[Friday]],5)),"h:mm AM/PM"),"OFF")</f>
        <v>7:00 am - 6:00 pm</v>
      </c>
      <c r="G14" t="str">
        <f>IFERROR(TEXT(TIMEVALUE(LEFT(Table3[[#This Row],[Saturday]],5)),"h:mm AM/PM")&amp;" - "&amp;TEXT(TIMEVALUE(RIGHT(Table3[[#This Row],[Saturday]],5)),"h:mm AM/PM"),"OFF")</f>
        <v>7:00 am - 6:00 pm</v>
      </c>
      <c r="H14" t="str">
        <f>IFERROR(TEXT(TIMEVALUE(LEFT(Table3[[#This Row],[Sunday]],5)),"h:mm AM/PM")&amp;" - "&amp;TEXT(TIMEVALUE(RIGHT(Table3[[#This Row],[Sunday]],5)),"h:mm AM/PM"),"OFF")</f>
        <v>7:00 am - 6:00 pm</v>
      </c>
      <c r="I14" t="str">
        <f t="shared" si="1"/>
        <v>Tue - Wed - Thu</v>
      </c>
      <c r="J14" s="37">
        <f>Table3[[#This Row],[Break 1]]</f>
        <v>0.92708333333333326</v>
      </c>
      <c r="K14" s="37">
        <f>Table3[[#This Row],[Break 2]]</f>
        <v>0.13541666666666652</v>
      </c>
      <c r="L14" s="37">
        <f>Table3[[#This Row],[Lunch]]</f>
        <v>1.0416666666666519E-2</v>
      </c>
      <c r="M14" s="37">
        <f>Table3[[#This Row],[Break 3]]</f>
        <v>0.23958333333333348</v>
      </c>
      <c r="N14" t="str">
        <f>Table3[[#This Row],[Supervisor]]</f>
        <v>Remmo Panaligan</v>
      </c>
      <c r="O14" t="str">
        <f>IFERROR(TEXT(TIMEVALUE(LEFT(Table3[[#This Row],[PH SHIFT]],5)),"h:mm AM/PM")&amp;" - "&amp;TEXT(TIMEVALUE(RIGHT(Table3[[#This Row],[PH SHIFT]],5)),"h:mm AM/PM"),"OFF")</f>
        <v>10:30 am - 9:30 pm</v>
      </c>
      <c r="P14">
        <f t="shared" si="0"/>
        <v>0</v>
      </c>
    </row>
    <row r="15" spans="1:16" x14ac:dyDescent="0.25">
      <c r="A15" t="str">
        <f>Table3[[#This Row],[Name]]</f>
        <v>Cynthia Anosa</v>
      </c>
      <c r="B15" t="str">
        <f>IFERROR(TEXT(TIMEVALUE(LEFT(Table3[[#This Row],[Monday]],5)),"h:mm AM/PM")&amp;" - "&amp;TEXT(TIMEVALUE(RIGHT(Table3[[#This Row],[Monday]],5)),"h:mm AM/PM"),"OFF")</f>
        <v>OFF</v>
      </c>
      <c r="C15" t="str">
        <f>IFERROR(TEXT(TIMEVALUE(LEFT(Table3[[#This Row],[Tuesday]],5)),"h:mm AM/PM")&amp;" - "&amp;TEXT(TIMEVALUE(RIGHT(Table3[[#This Row],[Tuesday]],5)),"h:mm AM/PM"),"OFF")</f>
        <v>4:00 pm - 3:00 am</v>
      </c>
      <c r="D15" t="str">
        <f>IFERROR(TEXT(TIMEVALUE(LEFT(Table3[[#This Row],[Wednesday]],5)),"h:mm AM/PM")&amp;" - "&amp;TEXT(TIMEVALUE(RIGHT(Table3[[#This Row],[Wednesday]],5)),"h:mm AM/PM"),"OFF")</f>
        <v>4:00 pm - 3:00 am</v>
      </c>
      <c r="E15" t="str">
        <f>IFERROR(TEXT(TIMEVALUE(LEFT(Table3[[#This Row],[Thursday]],5)),"h:mm AM/PM")&amp;" - "&amp;TEXT(TIMEVALUE(RIGHT(Table3[[#This Row],[Thursday]],5)),"h:mm AM/PM"),"OFF")</f>
        <v>4:00 pm - 3:00 am</v>
      </c>
      <c r="F15" t="str">
        <f>IFERROR(TEXT(TIMEVALUE(LEFT(Table3[[#This Row],[Friday]],5)),"h:mm AM/PM")&amp;" - "&amp;TEXT(TIMEVALUE(RIGHT(Table3[[#This Row],[Friday]],5)),"h:mm AM/PM"),"OFF")</f>
        <v>4:00 pm - 3:00 am</v>
      </c>
      <c r="G15" t="str">
        <f>IFERROR(TEXT(TIMEVALUE(LEFT(Table3[[#This Row],[Saturday]],5)),"h:mm AM/PM")&amp;" - "&amp;TEXT(TIMEVALUE(RIGHT(Table3[[#This Row],[Saturday]],5)),"h:mm AM/PM"),"OFF")</f>
        <v>OFF</v>
      </c>
      <c r="H15" t="str">
        <f>IFERROR(TEXT(TIMEVALUE(LEFT(Table3[[#This Row],[Sunday]],5)),"h:mm AM/PM")&amp;" - "&amp;TEXT(TIMEVALUE(RIGHT(Table3[[#This Row],[Sunday]],5)),"h:mm AM/PM"),"OFF")</f>
        <v>OFF</v>
      </c>
      <c r="I15" t="str">
        <f t="shared" si="1"/>
        <v>Mon - Sat - Sun</v>
      </c>
      <c r="J15" s="37">
        <f>Table3[[#This Row],[Break 1]]</f>
        <v>0.73958333333333337</v>
      </c>
      <c r="K15" s="37">
        <f>Table3[[#This Row],[Break 2]]</f>
        <v>2.0833333333333481E-2</v>
      </c>
      <c r="L15" s="37">
        <f>Table3[[#This Row],[Lunch]]</f>
        <v>0.85416666666666674</v>
      </c>
      <c r="M15" s="37">
        <f>Table3[[#This Row],[Break 3]]</f>
        <v>8.3333333333333481E-2</v>
      </c>
      <c r="N15" t="str">
        <f>Table3[[#This Row],[Supervisor]]</f>
        <v>Manilyn Abellar</v>
      </c>
      <c r="O15" t="str">
        <f>IFERROR(TEXT(TIMEVALUE(LEFT(Table3[[#This Row],[PH SHIFT]],5)),"h:mm AM/PM")&amp;" - "&amp;TEXT(TIMEVALUE(RIGHT(Table3[[#This Row],[PH SHIFT]],5)),"h:mm AM/PM"),"OFF")</f>
        <v>4:00 pm - 3:00 am</v>
      </c>
      <c r="P15">
        <f t="shared" si="0"/>
        <v>1</v>
      </c>
    </row>
    <row r="16" spans="1:16" x14ac:dyDescent="0.25">
      <c r="A16" t="str">
        <f>Table3[[#This Row],[Name]]</f>
        <v>Cyril Tagalog</v>
      </c>
      <c r="B16" t="str">
        <f>IFERROR(TEXT(TIMEVALUE(LEFT(Table3[[#This Row],[Monday]],5)),"h:mm AM/PM")&amp;" - "&amp;TEXT(TIMEVALUE(RIGHT(Table3[[#This Row],[Monday]],5)),"h:mm AM/PM"),"OFF")</f>
        <v>9:00 pm - 8:00 am</v>
      </c>
      <c r="C16" t="str">
        <f>IFERROR(TEXT(TIMEVALUE(LEFT(Table3[[#This Row],[Tuesday]],5)),"h:mm AM/PM")&amp;" - "&amp;TEXT(TIMEVALUE(RIGHT(Table3[[#This Row],[Tuesday]],5)),"h:mm AM/PM"),"OFF")</f>
        <v>9:00 pm - 8:00 am</v>
      </c>
      <c r="D16" t="str">
        <f>IFERROR(TEXT(TIMEVALUE(LEFT(Table3[[#This Row],[Wednesday]],5)),"h:mm AM/PM")&amp;" - "&amp;TEXT(TIMEVALUE(RIGHT(Table3[[#This Row],[Wednesday]],5)),"h:mm AM/PM"),"OFF")</f>
        <v>9:00 pm - 8:00 am</v>
      </c>
      <c r="E16" t="str">
        <f>IFERROR(TEXT(TIMEVALUE(LEFT(Table3[[#This Row],[Thursday]],5)),"h:mm AM/PM")&amp;" - "&amp;TEXT(TIMEVALUE(RIGHT(Table3[[#This Row],[Thursday]],5)),"h:mm AM/PM"),"OFF")</f>
        <v>9:00 pm - 8:00 am</v>
      </c>
      <c r="F16" t="str">
        <f>IFERROR(TEXT(TIMEVALUE(LEFT(Table3[[#This Row],[Friday]],5)),"h:mm AM/PM")&amp;" - "&amp;TEXT(TIMEVALUE(RIGHT(Table3[[#This Row],[Friday]],5)),"h:mm AM/PM"),"OFF")</f>
        <v>OFF</v>
      </c>
      <c r="G16" t="str">
        <f>IFERROR(TEXT(TIMEVALUE(LEFT(Table3[[#This Row],[Saturday]],5)),"h:mm AM/PM")&amp;" - "&amp;TEXT(TIMEVALUE(RIGHT(Table3[[#This Row],[Saturday]],5)),"h:mm AM/PM"),"OFF")</f>
        <v>OFF</v>
      </c>
      <c r="H16" t="str">
        <f>IFERROR(TEXT(TIMEVALUE(LEFT(Table3[[#This Row],[Sunday]],5)),"h:mm AM/PM")&amp;" - "&amp;TEXT(TIMEVALUE(RIGHT(Table3[[#This Row],[Sunday]],5)),"h:mm AM/PM"),"OFF")</f>
        <v>OFF</v>
      </c>
      <c r="I16" t="str">
        <f t="shared" si="1"/>
        <v>Fri - Sat - Sun</v>
      </c>
      <c r="J16" s="37">
        <f>Table3[[#This Row],[Break 1]]</f>
        <v>4.1666666666666519E-2</v>
      </c>
      <c r="K16" s="37">
        <f>Table3[[#This Row],[Break 2]]</f>
        <v>0.26041666666666652</v>
      </c>
      <c r="L16" s="37">
        <f>Table3[[#This Row],[Lunch]]</f>
        <v>0.13541666666666652</v>
      </c>
      <c r="M16" s="37">
        <f>Table3[[#This Row],[Break 3]]</f>
        <v>0.36458333333333348</v>
      </c>
      <c r="N16" t="str">
        <f>Table3[[#This Row],[Supervisor]]</f>
        <v>Remmo Panaligan</v>
      </c>
      <c r="O16" t="str">
        <f>IFERROR(TEXT(TIMEVALUE(LEFT(Table3[[#This Row],[PH SHIFT]],5)),"h:mm AM/PM")&amp;" - "&amp;TEXT(TIMEVALUE(RIGHT(Table3[[#This Row],[PH SHIFT]],5)),"h:mm AM/PM"),"OFF")</f>
        <v>2:00 pm - 1:00 am</v>
      </c>
      <c r="P16">
        <f t="shared" si="0"/>
        <v>1</v>
      </c>
    </row>
    <row r="17" spans="1:16" x14ac:dyDescent="0.25">
      <c r="A17" t="str">
        <f>Table3[[#This Row],[Name]]</f>
        <v>Dairenn Angel Adarne</v>
      </c>
      <c r="B17" t="str">
        <f>IFERROR(TEXT(TIMEVALUE(LEFT(Table3[[#This Row],[Monday]],5)),"h:mm AM/PM")&amp;" - "&amp;TEXT(TIMEVALUE(RIGHT(Table3[[#This Row],[Monday]],5)),"h:mm AM/PM"),"OFF")</f>
        <v>8:00 pm - 7:00 am</v>
      </c>
      <c r="C17" t="str">
        <f>IFERROR(TEXT(TIMEVALUE(LEFT(Table3[[#This Row],[Tuesday]],5)),"h:mm AM/PM")&amp;" - "&amp;TEXT(TIMEVALUE(RIGHT(Table3[[#This Row],[Tuesday]],5)),"h:mm AM/PM"),"OFF")</f>
        <v>OFF</v>
      </c>
      <c r="D17" t="str">
        <f>IFERROR(TEXT(TIMEVALUE(LEFT(Table3[[#This Row],[Wednesday]],5)),"h:mm AM/PM")&amp;" - "&amp;TEXT(TIMEVALUE(RIGHT(Table3[[#This Row],[Wednesday]],5)),"h:mm AM/PM"),"OFF")</f>
        <v>OFF</v>
      </c>
      <c r="E17" t="str">
        <f>IFERROR(TEXT(TIMEVALUE(LEFT(Table3[[#This Row],[Thursday]],5)),"h:mm AM/PM")&amp;" - "&amp;TEXT(TIMEVALUE(RIGHT(Table3[[#This Row],[Thursday]],5)),"h:mm AM/PM"),"OFF")</f>
        <v>OFF</v>
      </c>
      <c r="F17" t="str">
        <f>IFERROR(TEXT(TIMEVALUE(LEFT(Table3[[#This Row],[Friday]],5)),"h:mm AM/PM")&amp;" - "&amp;TEXT(TIMEVALUE(RIGHT(Table3[[#This Row],[Friday]],5)),"h:mm AM/PM"),"OFF")</f>
        <v>8:00 pm - 7:00 am</v>
      </c>
      <c r="G17" t="str">
        <f>IFERROR(TEXT(TIMEVALUE(LEFT(Table3[[#This Row],[Saturday]],5)),"h:mm AM/PM")&amp;" - "&amp;TEXT(TIMEVALUE(RIGHT(Table3[[#This Row],[Saturday]],5)),"h:mm AM/PM"),"OFF")</f>
        <v>8:00 pm - 7:00 am</v>
      </c>
      <c r="H17" t="str">
        <f>IFERROR(TEXT(TIMEVALUE(LEFT(Table3[[#This Row],[Sunday]],5)),"h:mm AM/PM")&amp;" - "&amp;TEXT(TIMEVALUE(RIGHT(Table3[[#This Row],[Sunday]],5)),"h:mm AM/PM"),"OFF")</f>
        <v>8:00 pm - 7:00 am</v>
      </c>
      <c r="I17" t="str">
        <f t="shared" si="1"/>
        <v>Tue - Wed - Thu</v>
      </c>
      <c r="J17" s="37">
        <f>Table3[[#This Row],[Break 1]]</f>
        <v>0.69791666666666663</v>
      </c>
      <c r="K17" s="37">
        <f>Table3[[#This Row],[Break 2]]</f>
        <v>0.9375</v>
      </c>
      <c r="L17" s="37">
        <f>Table3[[#This Row],[Lunch]]</f>
        <v>0.8125</v>
      </c>
      <c r="M17" s="37">
        <f>Table3[[#This Row],[Break 3]]</f>
        <v>4.1666666666666519E-2</v>
      </c>
      <c r="N17" t="str">
        <f>Table3[[#This Row],[Supervisor]]</f>
        <v>Anmecha Valencia</v>
      </c>
      <c r="O17" t="str">
        <f>IFERROR(TEXT(TIMEVALUE(LEFT(Table3[[#This Row],[PH SHIFT]],5)),"h:mm AM/PM")&amp;" - "&amp;TEXT(TIMEVALUE(RIGHT(Table3[[#This Row],[PH SHIFT]],5)),"h:mm AM/PM"),"OFF")</f>
        <v>3:00 pm - 2:00 am</v>
      </c>
      <c r="P17">
        <f t="shared" si="0"/>
        <v>1</v>
      </c>
    </row>
    <row r="18" spans="1:16" x14ac:dyDescent="0.25">
      <c r="A18" t="str">
        <f>Table3[[#This Row],[Name]]</f>
        <v>Dharlyn Grej Estillore</v>
      </c>
      <c r="B18" t="str">
        <f>IFERROR(TEXT(TIMEVALUE(LEFT(Table3[[#This Row],[Monday]],5)),"h:mm AM/PM")&amp;" - "&amp;TEXT(TIMEVALUE(RIGHT(Table3[[#This Row],[Monday]],5)),"h:mm AM/PM"),"OFF")</f>
        <v>11:00 pm - 10:00 am</v>
      </c>
      <c r="C18" t="str">
        <f>IFERROR(TEXT(TIMEVALUE(LEFT(Table3[[#This Row],[Tuesday]],5)),"h:mm AM/PM")&amp;" - "&amp;TEXT(TIMEVALUE(RIGHT(Table3[[#This Row],[Tuesday]],5)),"h:mm AM/PM"),"OFF")</f>
        <v>11:00 pm - 10:00 am</v>
      </c>
      <c r="D18" t="str">
        <f>IFERROR(TEXT(TIMEVALUE(LEFT(Table3[[#This Row],[Wednesday]],5)),"h:mm AM/PM")&amp;" - "&amp;TEXT(TIMEVALUE(RIGHT(Table3[[#This Row],[Wednesday]],5)),"h:mm AM/PM"),"OFF")</f>
        <v>11:00 pm - 10:00 am</v>
      </c>
      <c r="E18" t="str">
        <f>IFERROR(TEXT(TIMEVALUE(LEFT(Table3[[#This Row],[Thursday]],5)),"h:mm AM/PM")&amp;" - "&amp;TEXT(TIMEVALUE(RIGHT(Table3[[#This Row],[Thursday]],5)),"h:mm AM/PM"),"OFF")</f>
        <v>11:00 pm - 10:00 am</v>
      </c>
      <c r="F18" t="str">
        <f>IFERROR(TEXT(TIMEVALUE(LEFT(Table3[[#This Row],[Friday]],5)),"h:mm AM/PM")&amp;" - "&amp;TEXT(TIMEVALUE(RIGHT(Table3[[#This Row],[Friday]],5)),"h:mm AM/PM"),"OFF")</f>
        <v>OFF</v>
      </c>
      <c r="G18" t="str">
        <f>IFERROR(TEXT(TIMEVALUE(LEFT(Table3[[#This Row],[Saturday]],5)),"h:mm AM/PM")&amp;" - "&amp;TEXT(TIMEVALUE(RIGHT(Table3[[#This Row],[Saturday]],5)),"h:mm AM/PM"),"OFF")</f>
        <v>OFF</v>
      </c>
      <c r="H18" t="str">
        <f>IFERROR(TEXT(TIMEVALUE(LEFT(Table3[[#This Row],[Sunday]],5)),"h:mm AM/PM")&amp;" - "&amp;TEXT(TIMEVALUE(RIGHT(Table3[[#This Row],[Sunday]],5)),"h:mm AM/PM"),"OFF")</f>
        <v>OFF</v>
      </c>
      <c r="I18" t="str">
        <f t="shared" si="1"/>
        <v>Fri - Sat - Sun</v>
      </c>
      <c r="J18" s="37">
        <f>Table3[[#This Row],[Break 1]]</f>
        <v>0.84375</v>
      </c>
      <c r="K18" s="37">
        <f>Table3[[#This Row],[Break 2]]</f>
        <v>6.25E-2</v>
      </c>
      <c r="L18" s="37">
        <f>Table3[[#This Row],[Lunch]]</f>
        <v>0.9375</v>
      </c>
      <c r="M18" s="37">
        <f>Table3[[#This Row],[Break 3]]</f>
        <v>0.15625</v>
      </c>
      <c r="N18" t="str">
        <f>Table3[[#This Row],[Supervisor]]</f>
        <v>Remmo Panaligan</v>
      </c>
      <c r="O18" t="str">
        <f>IFERROR(TEXT(TIMEVALUE(LEFT(Table3[[#This Row],[PH SHIFT]],5)),"h:mm AM/PM")&amp;" - "&amp;TEXT(TIMEVALUE(RIGHT(Table3[[#This Row],[PH SHIFT]],5)),"h:mm AM/PM"),"OFF")</f>
        <v>5:00 pm - 4:00 am</v>
      </c>
      <c r="P18">
        <f t="shared" si="0"/>
        <v>1</v>
      </c>
    </row>
    <row r="19" spans="1:16" x14ac:dyDescent="0.25">
      <c r="A19" t="str">
        <f>Table3[[#This Row],[Name]]</f>
        <v>Eduardo Jacinto</v>
      </c>
      <c r="B19" t="str">
        <f>IFERROR(TEXT(TIMEVALUE(LEFT(Table3[[#This Row],[Monday]],5)),"h:mm AM/PM")&amp;" - "&amp;TEXT(TIMEVALUE(RIGHT(Table3[[#This Row],[Monday]],5)),"h:mm AM/PM"),"OFF")</f>
        <v>9:00 pm - 8:00 am</v>
      </c>
      <c r="C19" t="str">
        <f>IFERROR(TEXT(TIMEVALUE(LEFT(Table3[[#This Row],[Tuesday]],5)),"h:mm AM/PM")&amp;" - "&amp;TEXT(TIMEVALUE(RIGHT(Table3[[#This Row],[Tuesday]],5)),"h:mm AM/PM"),"OFF")</f>
        <v>9:00 pm - 8:00 am</v>
      </c>
      <c r="D19" t="str">
        <f>IFERROR(TEXT(TIMEVALUE(LEFT(Table3[[#This Row],[Wednesday]],5)),"h:mm AM/PM")&amp;" - "&amp;TEXT(TIMEVALUE(RIGHT(Table3[[#This Row],[Wednesday]],5)),"h:mm AM/PM"),"OFF")</f>
        <v>9:00 pm - 8:00 am</v>
      </c>
      <c r="E19" t="str">
        <f>IFERROR(TEXT(TIMEVALUE(LEFT(Table3[[#This Row],[Thursday]],5)),"h:mm AM/PM")&amp;" - "&amp;TEXT(TIMEVALUE(RIGHT(Table3[[#This Row],[Thursday]],5)),"h:mm AM/PM"),"OFF")</f>
        <v>OFF</v>
      </c>
      <c r="F19" t="str">
        <f>IFERROR(TEXT(TIMEVALUE(LEFT(Table3[[#This Row],[Friday]],5)),"h:mm AM/PM")&amp;" - "&amp;TEXT(TIMEVALUE(RIGHT(Table3[[#This Row],[Friday]],5)),"h:mm AM/PM"),"OFF")</f>
        <v>9:00 pm - 8:00 am</v>
      </c>
      <c r="G19" t="str">
        <f>IFERROR(TEXT(TIMEVALUE(LEFT(Table3[[#This Row],[Saturday]],5)),"h:mm AM/PM")&amp;" - "&amp;TEXT(TIMEVALUE(RIGHT(Table3[[#This Row],[Saturday]],5)),"h:mm AM/PM"),"OFF")</f>
        <v>OFF</v>
      </c>
      <c r="H19" t="str">
        <f>IFERROR(TEXT(TIMEVALUE(LEFT(Table3[[#This Row],[Sunday]],5)),"h:mm AM/PM")&amp;" - "&amp;TEXT(TIMEVALUE(RIGHT(Table3[[#This Row],[Sunday]],5)),"h:mm AM/PM"),"OFF")</f>
        <v>OFF</v>
      </c>
      <c r="I19" t="str">
        <f t="shared" si="1"/>
        <v>Thu - Sat - Sun</v>
      </c>
      <c r="J19" s="37">
        <f>Table3[[#This Row],[Break 1]]</f>
        <v>8.3333333333333481E-2</v>
      </c>
      <c r="K19" s="37">
        <f>Table3[[#This Row],[Break 2]]</f>
        <v>0.3125</v>
      </c>
      <c r="L19" s="37">
        <f>Table3[[#This Row],[Lunch]]</f>
        <v>0.17708333333333348</v>
      </c>
      <c r="M19" s="37">
        <f>Table3[[#This Row],[Break 3]]</f>
        <v>0.41666666666666652</v>
      </c>
      <c r="N19" t="str">
        <f>Table3[[#This Row],[Supervisor]]</f>
        <v>Manilyn Abellar</v>
      </c>
      <c r="O19" t="str">
        <f>IFERROR(TEXT(TIMEVALUE(LEFT(Table3[[#This Row],[PH SHIFT]],5)),"h:mm AM/PM")&amp;" - "&amp;TEXT(TIMEVALUE(RIGHT(Table3[[#This Row],[PH SHIFT]],5)),"h:mm AM/PM"),"OFF")</f>
        <v>5:00 pm - 4:00 am</v>
      </c>
      <c r="P19">
        <f t="shared" si="0"/>
        <v>1</v>
      </c>
    </row>
    <row r="20" spans="1:16" x14ac:dyDescent="0.25">
      <c r="A20" t="str">
        <f>Table3[[#This Row],[Name]]</f>
        <v>Elijah Jeremy Racca</v>
      </c>
      <c r="B20" t="str">
        <f>IFERROR(TEXT(TIMEVALUE(LEFT(Table3[[#This Row],[Monday]],5)),"h:mm AM/PM")&amp;" - "&amp;TEXT(TIMEVALUE(RIGHT(Table3[[#This Row],[Monday]],5)),"h:mm AM/PM"),"OFF")</f>
        <v>9:00 pm - 8:00 am</v>
      </c>
      <c r="C20" t="str">
        <f>IFERROR(TEXT(TIMEVALUE(LEFT(Table3[[#This Row],[Tuesday]],5)),"h:mm AM/PM")&amp;" - "&amp;TEXT(TIMEVALUE(RIGHT(Table3[[#This Row],[Tuesday]],5)),"h:mm AM/PM"),"OFF")</f>
        <v>9:00 pm - 8:00 am</v>
      </c>
      <c r="D20" t="str">
        <f>IFERROR(TEXT(TIMEVALUE(LEFT(Table3[[#This Row],[Wednesday]],5)),"h:mm AM/PM")&amp;" - "&amp;TEXT(TIMEVALUE(RIGHT(Table3[[#This Row],[Wednesday]],5)),"h:mm AM/PM"),"OFF")</f>
        <v>OFF</v>
      </c>
      <c r="E20" t="str">
        <f>IFERROR(TEXT(TIMEVALUE(LEFT(Table3[[#This Row],[Thursday]],5)),"h:mm AM/PM")&amp;" - "&amp;TEXT(TIMEVALUE(RIGHT(Table3[[#This Row],[Thursday]],5)),"h:mm AM/PM"),"OFF")</f>
        <v>9:00 pm - 8:00 am</v>
      </c>
      <c r="F20" t="str">
        <f>IFERROR(TEXT(TIMEVALUE(LEFT(Table3[[#This Row],[Friday]],5)),"h:mm AM/PM")&amp;" - "&amp;TEXT(TIMEVALUE(RIGHT(Table3[[#This Row],[Friday]],5)),"h:mm AM/PM"),"OFF")</f>
        <v>9:00 pm - 8:00 am</v>
      </c>
      <c r="G20" t="str">
        <f>IFERROR(TEXT(TIMEVALUE(LEFT(Table3[[#This Row],[Saturday]],5)),"h:mm AM/PM")&amp;" - "&amp;TEXT(TIMEVALUE(RIGHT(Table3[[#This Row],[Saturday]],5)),"h:mm AM/PM"),"OFF")</f>
        <v>OFF</v>
      </c>
      <c r="H20" t="str">
        <f>IFERROR(TEXT(TIMEVALUE(LEFT(Table3[[#This Row],[Sunday]],5)),"h:mm AM/PM")&amp;" - "&amp;TEXT(TIMEVALUE(RIGHT(Table3[[#This Row],[Sunday]],5)),"h:mm AM/PM"),"OFF")</f>
        <v>OFF</v>
      </c>
      <c r="I20" t="str">
        <f t="shared" si="1"/>
        <v>Wed - Sat - Sun</v>
      </c>
      <c r="J20" s="37">
        <f>Table3[[#This Row],[Break 1]]</f>
        <v>0.39583333333333348</v>
      </c>
      <c r="K20" s="37">
        <f>Table3[[#This Row],[Break 2]]</f>
        <v>0.60416666666666663</v>
      </c>
      <c r="L20" s="37">
        <f>Table3[[#This Row],[Lunch]]</f>
        <v>0.47916666666666652</v>
      </c>
      <c r="M20" s="37">
        <f>Table3[[#This Row],[Break 3]]</f>
        <v>0.6875</v>
      </c>
      <c r="N20" t="str">
        <f>Table3[[#This Row],[Supervisor]]</f>
        <v>Christopher Rodas</v>
      </c>
      <c r="O20" t="str">
        <f>IFERROR(TEXT(TIMEVALUE(LEFT(Table3[[#This Row],[PH SHIFT]],5)),"h:mm AM/PM")&amp;" - "&amp;TEXT(TIMEVALUE(RIGHT(Table3[[#This Row],[PH SHIFT]],5)),"h:mm AM/PM"),"OFF")</f>
        <v>6:00 pm - 5:00 am</v>
      </c>
      <c r="P20">
        <f t="shared" si="0"/>
        <v>1</v>
      </c>
    </row>
    <row r="21" spans="1:16" x14ac:dyDescent="0.25">
      <c r="A21" t="str">
        <f>Table3[[#This Row],[Name]]</f>
        <v>Eljhon Mar Cabalida</v>
      </c>
      <c r="B21" t="str">
        <f>IFERROR(TEXT(TIMEVALUE(LEFT(Table3[[#This Row],[Monday]],5)),"h:mm AM/PM")&amp;" - "&amp;TEXT(TIMEVALUE(RIGHT(Table3[[#This Row],[Monday]],5)),"h:mm AM/PM"),"OFF")</f>
        <v>8:00 pm - 7:00 am</v>
      </c>
      <c r="C21" t="str">
        <f>IFERROR(TEXT(TIMEVALUE(LEFT(Table3[[#This Row],[Tuesday]],5)),"h:mm AM/PM")&amp;" - "&amp;TEXT(TIMEVALUE(RIGHT(Table3[[#This Row],[Tuesday]],5)),"h:mm AM/PM"),"OFF")</f>
        <v>8:00 pm - 7:00 am</v>
      </c>
      <c r="D21" t="str">
        <f>IFERROR(TEXT(TIMEVALUE(LEFT(Table3[[#This Row],[Wednesday]],5)),"h:mm AM/PM")&amp;" - "&amp;TEXT(TIMEVALUE(RIGHT(Table3[[#This Row],[Wednesday]],5)),"h:mm AM/PM"),"OFF")</f>
        <v>OFF</v>
      </c>
      <c r="E21" t="str">
        <f>IFERROR(TEXT(TIMEVALUE(LEFT(Table3[[#This Row],[Thursday]],5)),"h:mm AM/PM")&amp;" - "&amp;TEXT(TIMEVALUE(RIGHT(Table3[[#This Row],[Thursday]],5)),"h:mm AM/PM"),"OFF")</f>
        <v>8:00 pm - 7:00 am</v>
      </c>
      <c r="F21" t="str">
        <f>IFERROR(TEXT(TIMEVALUE(LEFT(Table3[[#This Row],[Friday]],5)),"h:mm AM/PM")&amp;" - "&amp;TEXT(TIMEVALUE(RIGHT(Table3[[#This Row],[Friday]],5)),"h:mm AM/PM"),"OFF")</f>
        <v>8:00 pm - 7:00 am</v>
      </c>
      <c r="G21" t="str">
        <f>IFERROR(TEXT(TIMEVALUE(LEFT(Table3[[#This Row],[Saturday]],5)),"h:mm AM/PM")&amp;" - "&amp;TEXT(TIMEVALUE(RIGHT(Table3[[#This Row],[Saturday]],5)),"h:mm AM/PM"),"OFF")</f>
        <v>OFF</v>
      </c>
      <c r="H21" t="str">
        <f>IFERROR(TEXT(TIMEVALUE(LEFT(Table3[[#This Row],[Sunday]],5)),"h:mm AM/PM")&amp;" - "&amp;TEXT(TIMEVALUE(RIGHT(Table3[[#This Row],[Sunday]],5)),"h:mm AM/PM"),"OFF")</f>
        <v>OFF</v>
      </c>
      <c r="I21" t="str">
        <f t="shared" si="1"/>
        <v>Wed - Sat - Sun</v>
      </c>
      <c r="J21" s="37">
        <f>Table3[[#This Row],[Break 1]]</f>
        <v>0.84375</v>
      </c>
      <c r="K21" s="37">
        <f>Table3[[#This Row],[Break 2]]</f>
        <v>0.66666666666666663</v>
      </c>
      <c r="L21" s="37">
        <f>Table3[[#This Row],[Lunch]]</f>
        <v>0.72916666666666663</v>
      </c>
      <c r="M21" s="37">
        <f>Table3[[#This Row],[Break 3]]</f>
        <v>0.92708333333333326</v>
      </c>
      <c r="N21" t="str">
        <f>Table3[[#This Row],[Supervisor]]</f>
        <v>Manilyn Abellar</v>
      </c>
      <c r="O21" t="str">
        <f>IFERROR(TEXT(TIMEVALUE(LEFT(Table3[[#This Row],[PH SHIFT]],5)),"h:mm AM/PM")&amp;" - "&amp;TEXT(TIMEVALUE(RIGHT(Table3[[#This Row],[PH SHIFT]],5)),"h:mm AM/PM"),"OFF")</f>
        <v>6:00 pm - 5:00 am</v>
      </c>
      <c r="P21">
        <f t="shared" si="0"/>
        <v>1</v>
      </c>
    </row>
    <row r="22" spans="1:16" x14ac:dyDescent="0.25">
      <c r="A22" t="str">
        <f>Table3[[#This Row],[Name]]</f>
        <v>France Bajao</v>
      </c>
      <c r="B22" t="str">
        <f>IFERROR(TEXT(TIMEVALUE(LEFT(Table3[[#This Row],[Monday]],5)),"h:mm AM/PM")&amp;" - "&amp;TEXT(TIMEVALUE(RIGHT(Table3[[#This Row],[Monday]],5)),"h:mm AM/PM"),"OFF")</f>
        <v>6:00 am - 5:00 pm</v>
      </c>
      <c r="C22" t="str">
        <f>IFERROR(TEXT(TIMEVALUE(LEFT(Table3[[#This Row],[Tuesday]],5)),"h:mm AM/PM")&amp;" - "&amp;TEXT(TIMEVALUE(RIGHT(Table3[[#This Row],[Tuesday]],5)),"h:mm AM/PM"),"OFF")</f>
        <v>6:00 am - 5:00 pm</v>
      </c>
      <c r="D22" t="str">
        <f>IFERROR(TEXT(TIMEVALUE(LEFT(Table3[[#This Row],[Wednesday]],5)),"h:mm AM/PM")&amp;" - "&amp;TEXT(TIMEVALUE(RIGHT(Table3[[#This Row],[Wednesday]],5)),"h:mm AM/PM"),"OFF")</f>
        <v>6:00 am - 5:00 pm</v>
      </c>
      <c r="E22" t="str">
        <f>IFERROR(TEXT(TIMEVALUE(LEFT(Table3[[#This Row],[Thursday]],5)),"h:mm AM/PM")&amp;" - "&amp;TEXT(TIMEVALUE(RIGHT(Table3[[#This Row],[Thursday]],5)),"h:mm AM/PM"),"OFF")</f>
        <v>OFF</v>
      </c>
      <c r="F22" t="str">
        <f>IFERROR(TEXT(TIMEVALUE(LEFT(Table3[[#This Row],[Friday]],5)),"h:mm AM/PM")&amp;" - "&amp;TEXT(TIMEVALUE(RIGHT(Table3[[#This Row],[Friday]],5)),"h:mm AM/PM"),"OFF")</f>
        <v>OFF</v>
      </c>
      <c r="G22" t="str">
        <f>IFERROR(TEXT(TIMEVALUE(LEFT(Table3[[#This Row],[Saturday]],5)),"h:mm AM/PM")&amp;" - "&amp;TEXT(TIMEVALUE(RIGHT(Table3[[#This Row],[Saturday]],5)),"h:mm AM/PM"),"OFF")</f>
        <v>6:00 am - 5:00 pm</v>
      </c>
      <c r="H22" t="str">
        <f>IFERROR(TEXT(TIMEVALUE(LEFT(Table3[[#This Row],[Sunday]],5)),"h:mm AM/PM")&amp;" - "&amp;TEXT(TIMEVALUE(RIGHT(Table3[[#This Row],[Sunday]],5)),"h:mm AM/PM"),"OFF")</f>
        <v>OFF</v>
      </c>
      <c r="I22" t="str">
        <f t="shared" si="1"/>
        <v>Thu - Fri - Sun</v>
      </c>
      <c r="J22" s="37">
        <f>Table3[[#This Row],[Break 1]]</f>
        <v>0.125</v>
      </c>
      <c r="K22" s="37">
        <f>Table3[[#This Row],[Break 2]]</f>
        <v>0.375</v>
      </c>
      <c r="L22" s="37">
        <f>Table3[[#This Row],[Lunch]]</f>
        <v>0.25</v>
      </c>
      <c r="M22" s="37">
        <f>Table3[[#This Row],[Break 3]]</f>
        <v>0.47916666666666652</v>
      </c>
      <c r="N22" t="str">
        <f>Table3[[#This Row],[Supervisor]]</f>
        <v>Manilyn Abellar</v>
      </c>
      <c r="O22" t="str">
        <f>IFERROR(TEXT(TIMEVALUE(LEFT(Table3[[#This Row],[PH SHIFT]],5)),"h:mm AM/PM")&amp;" - "&amp;TEXT(TIMEVALUE(RIGHT(Table3[[#This Row],[PH SHIFT]],5)),"h:mm AM/PM"),"OFF")</f>
        <v>6:00 pm - 5:00 am</v>
      </c>
      <c r="P22">
        <f t="shared" si="0"/>
        <v>1</v>
      </c>
    </row>
    <row r="23" spans="1:16" x14ac:dyDescent="0.25">
      <c r="A23" t="str">
        <f>Table3[[#This Row],[Name]]</f>
        <v>Giselle Florendo</v>
      </c>
      <c r="B23" t="str">
        <f>IFERROR(TEXT(TIMEVALUE(LEFT(Table3[[#This Row],[Monday]],5)),"h:mm AM/PM")&amp;" - "&amp;TEXT(TIMEVALUE(RIGHT(Table3[[#This Row],[Monday]],5)),"h:mm AM/PM"),"OFF")</f>
        <v>6:00 pm - 5:00 am</v>
      </c>
      <c r="C23" t="str">
        <f>IFERROR(TEXT(TIMEVALUE(LEFT(Table3[[#This Row],[Tuesday]],5)),"h:mm AM/PM")&amp;" - "&amp;TEXT(TIMEVALUE(RIGHT(Table3[[#This Row],[Tuesday]],5)),"h:mm AM/PM"),"OFF")</f>
        <v>6:00 pm - 5:00 am</v>
      </c>
      <c r="D23" t="str">
        <f>IFERROR(TEXT(TIMEVALUE(LEFT(Table3[[#This Row],[Wednesday]],5)),"h:mm AM/PM")&amp;" - "&amp;TEXT(TIMEVALUE(RIGHT(Table3[[#This Row],[Wednesday]],5)),"h:mm AM/PM"),"OFF")</f>
        <v>6:00 pm - 5:00 am</v>
      </c>
      <c r="E23" t="str">
        <f>IFERROR(TEXT(TIMEVALUE(LEFT(Table3[[#This Row],[Thursday]],5)),"h:mm AM/PM")&amp;" - "&amp;TEXT(TIMEVALUE(RIGHT(Table3[[#This Row],[Thursday]],5)),"h:mm AM/PM"),"OFF")</f>
        <v>6:00 pm - 5:00 am</v>
      </c>
      <c r="F23" t="str">
        <f>IFERROR(TEXT(TIMEVALUE(LEFT(Table3[[#This Row],[Friday]],5)),"h:mm AM/PM")&amp;" - "&amp;TEXT(TIMEVALUE(RIGHT(Table3[[#This Row],[Friday]],5)),"h:mm AM/PM"),"OFF")</f>
        <v>OFF</v>
      </c>
      <c r="G23" t="str">
        <f>IFERROR(TEXT(TIMEVALUE(LEFT(Table3[[#This Row],[Saturday]],5)),"h:mm AM/PM")&amp;" - "&amp;TEXT(TIMEVALUE(RIGHT(Table3[[#This Row],[Saturday]],5)),"h:mm AM/PM"),"OFF")</f>
        <v>OFF</v>
      </c>
      <c r="H23" t="str">
        <f>IFERROR(TEXT(TIMEVALUE(LEFT(Table3[[#This Row],[Sunday]],5)),"h:mm AM/PM")&amp;" - "&amp;TEXT(TIMEVALUE(RIGHT(Table3[[#This Row],[Sunday]],5)),"h:mm AM/PM"),"OFF")</f>
        <v>OFF</v>
      </c>
      <c r="I23" t="str">
        <f t="shared" si="1"/>
        <v>Fri - Sat - Sun</v>
      </c>
      <c r="J23" s="37">
        <f>Table3[[#This Row],[Break 1]]</f>
        <v>0.55208333333333337</v>
      </c>
      <c r="K23" s="37">
        <f>Table3[[#This Row],[Break 2]]</f>
        <v>0.77083333333333326</v>
      </c>
      <c r="L23" s="37">
        <f>Table3[[#This Row],[Lunch]]</f>
        <v>0.64583333333333337</v>
      </c>
      <c r="M23" s="37">
        <f>Table3[[#This Row],[Break 3]]</f>
        <v>0.86458333333333326</v>
      </c>
      <c r="N23" t="str">
        <f>Table3[[#This Row],[Supervisor]]</f>
        <v>Anmecha Valencia</v>
      </c>
      <c r="O23" t="str">
        <f>IFERROR(TEXT(TIMEVALUE(LEFT(Table3[[#This Row],[PH SHIFT]],5)),"h:mm AM/PM")&amp;" - "&amp;TEXT(TIMEVALUE(RIGHT(Table3[[#This Row],[PH SHIFT]],5)),"h:mm AM/PM"),"OFF")</f>
        <v>7:00 pm - 6:00 am</v>
      </c>
      <c r="P23">
        <f t="shared" si="0"/>
        <v>1</v>
      </c>
    </row>
    <row r="24" spans="1:16" x14ac:dyDescent="0.25">
      <c r="A24" t="str">
        <f>Table3[[#This Row],[Name]]</f>
        <v>Jackyleen Caballero</v>
      </c>
      <c r="B24" t="str">
        <f>IFERROR(TEXT(TIMEVALUE(LEFT(Table3[[#This Row],[Monday]],5)),"h:mm AM/PM")&amp;" - "&amp;TEXT(TIMEVALUE(RIGHT(Table3[[#This Row],[Monday]],5)),"h:mm AM/PM"),"OFF")</f>
        <v>5:00 pm - 4:00 am</v>
      </c>
      <c r="C24" t="str">
        <f>IFERROR(TEXT(TIMEVALUE(LEFT(Table3[[#This Row],[Tuesday]],5)),"h:mm AM/PM")&amp;" - "&amp;TEXT(TIMEVALUE(RIGHT(Table3[[#This Row],[Tuesday]],5)),"h:mm AM/PM"),"OFF")</f>
        <v>5:00 pm - 4:00 am</v>
      </c>
      <c r="D24" t="str">
        <f>IFERROR(TEXT(TIMEVALUE(LEFT(Table3[[#This Row],[Wednesday]],5)),"h:mm AM/PM")&amp;" - "&amp;TEXT(TIMEVALUE(RIGHT(Table3[[#This Row],[Wednesday]],5)),"h:mm AM/PM"),"OFF")</f>
        <v>5:00 pm - 4:00 am</v>
      </c>
      <c r="E24" t="str">
        <f>IFERROR(TEXT(TIMEVALUE(LEFT(Table3[[#This Row],[Thursday]],5)),"h:mm AM/PM")&amp;" - "&amp;TEXT(TIMEVALUE(RIGHT(Table3[[#This Row],[Thursday]],5)),"h:mm AM/PM"),"OFF")</f>
        <v>OFF</v>
      </c>
      <c r="F24" t="str">
        <f>IFERROR(TEXT(TIMEVALUE(LEFT(Table3[[#This Row],[Friday]],5)),"h:mm AM/PM")&amp;" - "&amp;TEXT(TIMEVALUE(RIGHT(Table3[[#This Row],[Friday]],5)),"h:mm AM/PM"),"OFF")</f>
        <v>OFF</v>
      </c>
      <c r="G24" t="str">
        <f>IFERROR(TEXT(TIMEVALUE(LEFT(Table3[[#This Row],[Saturday]],5)),"h:mm AM/PM")&amp;" - "&amp;TEXT(TIMEVALUE(RIGHT(Table3[[#This Row],[Saturday]],5)),"h:mm AM/PM"),"OFF")</f>
        <v>OFF</v>
      </c>
      <c r="H24" t="str">
        <f>IFERROR(TEXT(TIMEVALUE(LEFT(Table3[[#This Row],[Sunday]],5)),"h:mm AM/PM")&amp;" - "&amp;TEXT(TIMEVALUE(RIGHT(Table3[[#This Row],[Sunday]],5)),"h:mm AM/PM"),"OFF")</f>
        <v>5:00 pm - 4:00 am</v>
      </c>
      <c r="I24" t="str">
        <f t="shared" si="1"/>
        <v>Thu - Fri - Sat</v>
      </c>
      <c r="J24" s="37">
        <f>Table3[[#This Row],[Break 1]]</f>
        <v>0.80208333333333326</v>
      </c>
      <c r="K24" s="37">
        <f>Table3[[#This Row],[Break 2]]</f>
        <v>4.1666666666666519E-2</v>
      </c>
      <c r="L24" s="37">
        <f>Table3[[#This Row],[Lunch]]</f>
        <v>0.91666666666666674</v>
      </c>
      <c r="M24" s="37">
        <f>Table3[[#This Row],[Break 3]]</f>
        <v>0.14583333333333348</v>
      </c>
      <c r="N24" t="str">
        <f>Table3[[#This Row],[Supervisor]]</f>
        <v>Christopher Rodas</v>
      </c>
      <c r="O24" t="str">
        <f>IFERROR(TEXT(TIMEVALUE(LEFT(Table3[[#This Row],[PH SHIFT]],5)),"h:mm AM/PM")&amp;" - "&amp;TEXT(TIMEVALUE(RIGHT(Table3[[#This Row],[PH SHIFT]],5)),"h:mm AM/PM"),"OFF")</f>
        <v>10:00 pm - 9:00 am</v>
      </c>
      <c r="P24">
        <f t="shared" si="0"/>
        <v>1</v>
      </c>
    </row>
    <row r="25" spans="1:16" x14ac:dyDescent="0.25">
      <c r="A25" t="str">
        <f>Table3[[#This Row],[Name]]</f>
        <v>James Kim Malatag</v>
      </c>
      <c r="B25" t="str">
        <f>IFERROR(TEXT(TIMEVALUE(LEFT(Table3[[#This Row],[Monday]],5)),"h:mm AM/PM")&amp;" - "&amp;TEXT(TIMEVALUE(RIGHT(Table3[[#This Row],[Monday]],5)),"h:mm AM/PM"),"OFF")</f>
        <v>10:00 pm - 9:00 am</v>
      </c>
      <c r="C25" t="str">
        <f>IFERROR(TEXT(TIMEVALUE(LEFT(Table3[[#This Row],[Tuesday]],5)),"h:mm AM/PM")&amp;" - "&amp;TEXT(TIMEVALUE(RIGHT(Table3[[#This Row],[Tuesday]],5)),"h:mm AM/PM"),"OFF")</f>
        <v>10:00 pm - 9:00 am</v>
      </c>
      <c r="D25" t="str">
        <f>IFERROR(TEXT(TIMEVALUE(LEFT(Table3[[#This Row],[Wednesday]],5)),"h:mm AM/PM")&amp;" - "&amp;TEXT(TIMEVALUE(RIGHT(Table3[[#This Row],[Wednesday]],5)),"h:mm AM/PM"),"OFF")</f>
        <v>10:00 pm - 9:00 am</v>
      </c>
      <c r="E25" t="str">
        <f>IFERROR(TEXT(TIMEVALUE(LEFT(Table3[[#This Row],[Thursday]],5)),"h:mm AM/PM")&amp;" - "&amp;TEXT(TIMEVALUE(RIGHT(Table3[[#This Row],[Thursday]],5)),"h:mm AM/PM"),"OFF")</f>
        <v>10:00 pm - 9:00 am</v>
      </c>
      <c r="F25" t="str">
        <f>IFERROR(TEXT(TIMEVALUE(LEFT(Table3[[#This Row],[Friday]],5)),"h:mm AM/PM")&amp;" - "&amp;TEXT(TIMEVALUE(RIGHT(Table3[[#This Row],[Friday]],5)),"h:mm AM/PM"),"OFF")</f>
        <v>OFF</v>
      </c>
      <c r="G25" t="str">
        <f>IFERROR(TEXT(TIMEVALUE(LEFT(Table3[[#This Row],[Saturday]],5)),"h:mm AM/PM")&amp;" - "&amp;TEXT(TIMEVALUE(RIGHT(Table3[[#This Row],[Saturday]],5)),"h:mm AM/PM"),"OFF")</f>
        <v>OFF</v>
      </c>
      <c r="H25" t="str">
        <f>IFERROR(TEXT(TIMEVALUE(LEFT(Table3[[#This Row],[Sunday]],5)),"h:mm AM/PM")&amp;" - "&amp;TEXT(TIMEVALUE(RIGHT(Table3[[#This Row],[Sunday]],5)),"h:mm AM/PM"),"OFF")</f>
        <v>OFF</v>
      </c>
      <c r="I25" t="str">
        <f t="shared" si="1"/>
        <v>Fri - Sat - Sun</v>
      </c>
      <c r="J25" s="37">
        <f>Table3[[#This Row],[Break 1]]</f>
        <v>0.88541666666666674</v>
      </c>
      <c r="K25" s="37">
        <f>Table3[[#This Row],[Break 2]]</f>
        <v>0.11458333333333348</v>
      </c>
      <c r="L25" s="37">
        <f>Table3[[#This Row],[Lunch]]</f>
        <v>0.96875</v>
      </c>
      <c r="M25" s="37">
        <f>Table3[[#This Row],[Break 3]]</f>
        <v>0.21875</v>
      </c>
      <c r="N25" t="str">
        <f>Table3[[#This Row],[Supervisor]]</f>
        <v>Manilyn Abellar</v>
      </c>
      <c r="O25" t="str">
        <f>IFERROR(TEXT(TIMEVALUE(LEFT(Table3[[#This Row],[PH SHIFT]],5)),"h:mm AM/PM")&amp;" - "&amp;TEXT(TIMEVALUE(RIGHT(Table3[[#This Row],[PH SHIFT]],5)),"h:mm AM/PM"),"OFF")</f>
        <v>7:30 pm - 6:30 am</v>
      </c>
      <c r="P25">
        <f t="shared" si="0"/>
        <v>1</v>
      </c>
    </row>
    <row r="26" spans="1:16" x14ac:dyDescent="0.25">
      <c r="A26" t="str">
        <f>Table3[[#This Row],[Name]]</f>
        <v>James Matthew Santos</v>
      </c>
      <c r="B26" t="str">
        <f>IFERROR(TEXT(TIMEVALUE(LEFT(Table3[[#This Row],[Monday]],5)),"h:mm AM/PM")&amp;" - "&amp;TEXT(TIMEVALUE(RIGHT(Table3[[#This Row],[Monday]],5)),"h:mm AM/PM"),"OFF")</f>
        <v>8:00 pm - 7:00 am</v>
      </c>
      <c r="C26" t="str">
        <f>IFERROR(TEXT(TIMEVALUE(LEFT(Table3[[#This Row],[Tuesday]],5)),"h:mm AM/PM")&amp;" - "&amp;TEXT(TIMEVALUE(RIGHT(Table3[[#This Row],[Tuesday]],5)),"h:mm AM/PM"),"OFF")</f>
        <v>8:00 pm - 7:00 am</v>
      </c>
      <c r="D26" t="str">
        <f>IFERROR(TEXT(TIMEVALUE(LEFT(Table3[[#This Row],[Wednesday]],5)),"h:mm AM/PM")&amp;" - "&amp;TEXT(TIMEVALUE(RIGHT(Table3[[#This Row],[Wednesday]],5)),"h:mm AM/PM"),"OFF")</f>
        <v>OFF</v>
      </c>
      <c r="E26" t="str">
        <f>IFERROR(TEXT(TIMEVALUE(LEFT(Table3[[#This Row],[Thursday]],5)),"h:mm AM/PM")&amp;" - "&amp;TEXT(TIMEVALUE(RIGHT(Table3[[#This Row],[Thursday]],5)),"h:mm AM/PM"),"OFF")</f>
        <v>8:00 pm - 7:00 am</v>
      </c>
      <c r="F26" t="str">
        <f>IFERROR(TEXT(TIMEVALUE(LEFT(Table3[[#This Row],[Friday]],5)),"h:mm AM/PM")&amp;" - "&amp;TEXT(TIMEVALUE(RIGHT(Table3[[#This Row],[Friday]],5)),"h:mm AM/PM"),"OFF")</f>
        <v>8:00 pm - 7:00 am</v>
      </c>
      <c r="G26" t="str">
        <f>IFERROR(TEXT(TIMEVALUE(LEFT(Table3[[#This Row],[Saturday]],5)),"h:mm AM/PM")&amp;" - "&amp;TEXT(TIMEVALUE(RIGHT(Table3[[#This Row],[Saturday]],5)),"h:mm AM/PM"),"OFF")</f>
        <v>OFF</v>
      </c>
      <c r="H26" t="str">
        <f>IFERROR(TEXT(TIMEVALUE(LEFT(Table3[[#This Row],[Sunday]],5)),"h:mm AM/PM")&amp;" - "&amp;TEXT(TIMEVALUE(RIGHT(Table3[[#This Row],[Sunday]],5)),"h:mm AM/PM"),"OFF")</f>
        <v>OFF</v>
      </c>
      <c r="I26" t="str">
        <f t="shared" si="1"/>
        <v>Wed - Sat - Sun</v>
      </c>
      <c r="J26" s="37">
        <f>Table3[[#This Row],[Break 1]]</f>
        <v>0.89583333333333326</v>
      </c>
      <c r="K26" s="37">
        <f>Table3[[#This Row],[Break 2]]</f>
        <v>0.10416666666666652</v>
      </c>
      <c r="L26" s="37">
        <f>Table3[[#This Row],[Lunch]]</f>
        <v>0.97916666666666674</v>
      </c>
      <c r="M26" s="37">
        <f>Table3[[#This Row],[Break 3]]</f>
        <v>0.22916666666666652</v>
      </c>
      <c r="N26" t="str">
        <f>Table3[[#This Row],[Supervisor]]</f>
        <v>Christopher Rodas</v>
      </c>
      <c r="O26" t="str">
        <f>IFERROR(TEXT(TIMEVALUE(LEFT(Table3[[#This Row],[PH SHIFT]],5)),"h:mm AM/PM")&amp;" - "&amp;TEXT(TIMEVALUE(RIGHT(Table3[[#This Row],[PH SHIFT]],5)),"h:mm AM/PM"),"OFF")</f>
        <v>7:30 pm - 6:30 am</v>
      </c>
      <c r="P26">
        <f t="shared" si="0"/>
        <v>1</v>
      </c>
    </row>
    <row r="27" spans="1:16" x14ac:dyDescent="0.25">
      <c r="A27" t="str">
        <f>Table3[[#This Row],[Name]]</f>
        <v>Jayson Pescadero</v>
      </c>
      <c r="B27" t="str">
        <f>IFERROR(TEXT(TIMEVALUE(LEFT(Table3[[#This Row],[Monday]],5)),"h:mm AM/PM")&amp;" - "&amp;TEXT(TIMEVALUE(RIGHT(Table3[[#This Row],[Monday]],5)),"h:mm AM/PM"),"OFF")</f>
        <v>11:00 pm - 10:00 am</v>
      </c>
      <c r="C27" t="str">
        <f>IFERROR(TEXT(TIMEVALUE(LEFT(Table3[[#This Row],[Tuesday]],5)),"h:mm AM/PM")&amp;" - "&amp;TEXT(TIMEVALUE(RIGHT(Table3[[#This Row],[Tuesday]],5)),"h:mm AM/PM"),"OFF")</f>
        <v>11:00 pm - 10:00 am</v>
      </c>
      <c r="D27" t="str">
        <f>IFERROR(TEXT(TIMEVALUE(LEFT(Table3[[#This Row],[Wednesday]],5)),"h:mm AM/PM")&amp;" - "&amp;TEXT(TIMEVALUE(RIGHT(Table3[[#This Row],[Wednesday]],5)),"h:mm AM/PM"),"OFF")</f>
        <v>11:00 pm - 10:00 am</v>
      </c>
      <c r="E27" t="str">
        <f>IFERROR(TEXT(TIMEVALUE(LEFT(Table3[[#This Row],[Thursday]],5)),"h:mm AM/PM")&amp;" - "&amp;TEXT(TIMEVALUE(RIGHT(Table3[[#This Row],[Thursday]],5)),"h:mm AM/PM"),"OFF")</f>
        <v>11:00 pm - 10:00 am</v>
      </c>
      <c r="F27" t="str">
        <f>IFERROR(TEXT(TIMEVALUE(LEFT(Table3[[#This Row],[Friday]],5)),"h:mm AM/PM")&amp;" - "&amp;TEXT(TIMEVALUE(RIGHT(Table3[[#This Row],[Friday]],5)),"h:mm AM/PM"),"OFF")</f>
        <v>OFF</v>
      </c>
      <c r="G27" t="str">
        <f>IFERROR(TEXT(TIMEVALUE(LEFT(Table3[[#This Row],[Saturday]],5)),"h:mm AM/PM")&amp;" - "&amp;TEXT(TIMEVALUE(RIGHT(Table3[[#This Row],[Saturday]],5)),"h:mm AM/PM"),"OFF")</f>
        <v>OFF</v>
      </c>
      <c r="H27" t="str">
        <f>IFERROR(TEXT(TIMEVALUE(LEFT(Table3[[#This Row],[Sunday]],5)),"h:mm AM/PM")&amp;" - "&amp;TEXT(TIMEVALUE(RIGHT(Table3[[#This Row],[Sunday]],5)),"h:mm AM/PM"),"OFF")</f>
        <v>OFF</v>
      </c>
      <c r="I27" t="str">
        <f t="shared" si="1"/>
        <v>Fri - Sat - Sun</v>
      </c>
      <c r="J27" s="37">
        <f>Table3[[#This Row],[Break 1]]</f>
        <v>0.97916666666666674</v>
      </c>
      <c r="K27" s="37">
        <f>Table3[[#This Row],[Break 2]]</f>
        <v>0.22916666666666652</v>
      </c>
      <c r="L27" s="37">
        <f>Table3[[#This Row],[Lunch]]</f>
        <v>0.10416666666666652</v>
      </c>
      <c r="M27" s="37">
        <f>Table3[[#This Row],[Break 3]]</f>
        <v>0.30208333333333348</v>
      </c>
      <c r="N27" t="str">
        <f>Table3[[#This Row],[Supervisor]]</f>
        <v>Manilyn Abellar</v>
      </c>
      <c r="O27" t="str">
        <f>IFERROR(TEXT(TIMEVALUE(LEFT(Table3[[#This Row],[PH SHIFT]],5)),"h:mm AM/PM")&amp;" - "&amp;TEXT(TIMEVALUE(RIGHT(Table3[[#This Row],[PH SHIFT]],5)),"h:mm AM/PM"),"OFF")</f>
        <v>8:00 pm - 7:00 am</v>
      </c>
      <c r="P27">
        <f t="shared" si="0"/>
        <v>1</v>
      </c>
    </row>
    <row r="28" spans="1:16" x14ac:dyDescent="0.25">
      <c r="A28" t="str">
        <f>Table3[[#This Row],[Name]]</f>
        <v>Jeffryl Joe Pardillo</v>
      </c>
      <c r="B28" t="str">
        <f>IFERROR(TEXT(TIMEVALUE(LEFT(Table3[[#This Row],[Monday]],5)),"h:mm AM/PM")&amp;" - "&amp;TEXT(TIMEVALUE(RIGHT(Table3[[#This Row],[Monday]],5)),"h:mm AM/PM"),"OFF")</f>
        <v>2:00 pm - 1:00 am</v>
      </c>
      <c r="C28" t="str">
        <f>IFERROR(TEXT(TIMEVALUE(LEFT(Table3[[#This Row],[Tuesday]],5)),"h:mm AM/PM")&amp;" - "&amp;TEXT(TIMEVALUE(RIGHT(Table3[[#This Row],[Tuesday]],5)),"h:mm AM/PM"),"OFF")</f>
        <v>2:00 pm - 1:00 am</v>
      </c>
      <c r="D28" t="str">
        <f>IFERROR(TEXT(TIMEVALUE(LEFT(Table3[[#This Row],[Wednesday]],5)),"h:mm AM/PM")&amp;" - "&amp;TEXT(TIMEVALUE(RIGHT(Table3[[#This Row],[Wednesday]],5)),"h:mm AM/PM"),"OFF")</f>
        <v>2:00 pm - 1:00 am</v>
      </c>
      <c r="E28" t="str">
        <f>IFERROR(TEXT(TIMEVALUE(LEFT(Table3[[#This Row],[Thursday]],5)),"h:mm AM/PM")&amp;" - "&amp;TEXT(TIMEVALUE(RIGHT(Table3[[#This Row],[Thursday]],5)),"h:mm AM/PM"),"OFF")</f>
        <v>OFF</v>
      </c>
      <c r="F28" t="str">
        <f>IFERROR(TEXT(TIMEVALUE(LEFT(Table3[[#This Row],[Friday]],5)),"h:mm AM/PM")&amp;" - "&amp;TEXT(TIMEVALUE(RIGHT(Table3[[#This Row],[Friday]],5)),"h:mm AM/PM"),"OFF")</f>
        <v>OFF</v>
      </c>
      <c r="G28" t="str">
        <f>IFERROR(TEXT(TIMEVALUE(LEFT(Table3[[#This Row],[Saturday]],5)),"h:mm AM/PM")&amp;" - "&amp;TEXT(TIMEVALUE(RIGHT(Table3[[#This Row],[Saturday]],5)),"h:mm AM/PM"),"OFF")</f>
        <v>OFF</v>
      </c>
      <c r="H28" t="str">
        <f>IFERROR(TEXT(TIMEVALUE(LEFT(Table3[[#This Row],[Sunday]],5)),"h:mm AM/PM")&amp;" - "&amp;TEXT(TIMEVALUE(RIGHT(Table3[[#This Row],[Sunday]],5)),"h:mm AM/PM"),"OFF")</f>
        <v>2:00 pm - 1:00 am</v>
      </c>
      <c r="I28" t="str">
        <f t="shared" si="1"/>
        <v>Thu - Fri - Sat</v>
      </c>
      <c r="J28" s="37">
        <f>Table3[[#This Row],[Break 1]]</f>
        <v>0.98958333333333326</v>
      </c>
      <c r="K28" s="37">
        <f>Table3[[#This Row],[Break 2]]</f>
        <v>7.2916666666666519E-2</v>
      </c>
      <c r="L28" s="37">
        <f>Table3[[#This Row],[Lunch]]</f>
        <v>0.16666666666666652</v>
      </c>
      <c r="M28" s="37">
        <f>Table3[[#This Row],[Break 3]]</f>
        <v>0.25</v>
      </c>
      <c r="N28" t="str">
        <f>Table3[[#This Row],[Supervisor]]</f>
        <v>Anmecha Valencia</v>
      </c>
      <c r="O28" t="str">
        <f>IFERROR(TEXT(TIMEVALUE(LEFT(Table3[[#This Row],[PH SHIFT]],5)),"h:mm AM/PM")&amp;" - "&amp;TEXT(TIMEVALUE(RIGHT(Table3[[#This Row],[PH SHIFT]],5)),"h:mm AM/PM"),"OFF")</f>
        <v>8:00 pm - 7:00 am</v>
      </c>
      <c r="P28">
        <f t="shared" si="0"/>
        <v>1</v>
      </c>
    </row>
    <row r="29" spans="1:16" x14ac:dyDescent="0.25">
      <c r="A29" t="str">
        <f>Table3[[#This Row],[Name]]</f>
        <v>Jesse Owen Rama</v>
      </c>
      <c r="B29" t="str">
        <f>IFERROR(TEXT(TIMEVALUE(LEFT(Table3[[#This Row],[Monday]],5)),"h:mm AM/PM")&amp;" - "&amp;TEXT(TIMEVALUE(RIGHT(Table3[[#This Row],[Monday]],5)),"h:mm AM/PM"),"OFF")</f>
        <v>OFF</v>
      </c>
      <c r="C29" t="str">
        <f>IFERROR(TEXT(TIMEVALUE(LEFT(Table3[[#This Row],[Tuesday]],5)),"h:mm AM/PM")&amp;" - "&amp;TEXT(TIMEVALUE(RIGHT(Table3[[#This Row],[Tuesday]],5)),"h:mm AM/PM"),"OFF")</f>
        <v>10:00 am - 9:00 pm</v>
      </c>
      <c r="D29" t="str">
        <f>IFERROR(TEXT(TIMEVALUE(LEFT(Table3[[#This Row],[Wednesday]],5)),"h:mm AM/PM")&amp;" - "&amp;TEXT(TIMEVALUE(RIGHT(Table3[[#This Row],[Wednesday]],5)),"h:mm AM/PM"),"OFF")</f>
        <v>10:00 am - 9:00 pm</v>
      </c>
      <c r="E29" t="str">
        <f>IFERROR(TEXT(TIMEVALUE(LEFT(Table3[[#This Row],[Thursday]],5)),"h:mm AM/PM")&amp;" - "&amp;TEXT(TIMEVALUE(RIGHT(Table3[[#This Row],[Thursday]],5)),"h:mm AM/PM"),"OFF")</f>
        <v>OFF</v>
      </c>
      <c r="F29" t="str">
        <f>IFERROR(TEXT(TIMEVALUE(LEFT(Table3[[#This Row],[Friday]],5)),"h:mm AM/PM")&amp;" - "&amp;TEXT(TIMEVALUE(RIGHT(Table3[[#This Row],[Friday]],5)),"h:mm AM/PM"),"OFF")</f>
        <v>10:00 am - 9:00 pm</v>
      </c>
      <c r="G29" t="str">
        <f>IFERROR(TEXT(TIMEVALUE(LEFT(Table3[[#This Row],[Saturday]],5)),"h:mm AM/PM")&amp;" - "&amp;TEXT(TIMEVALUE(RIGHT(Table3[[#This Row],[Saturday]],5)),"h:mm AM/PM"),"OFF")</f>
        <v>10:00 am - 9:00 pm</v>
      </c>
      <c r="H29" t="str">
        <f>IFERROR(TEXT(TIMEVALUE(LEFT(Table3[[#This Row],[Sunday]],5)),"h:mm AM/PM")&amp;" - "&amp;TEXT(TIMEVALUE(RIGHT(Table3[[#This Row],[Sunday]],5)),"h:mm AM/PM"),"OFF")</f>
        <v>OFF</v>
      </c>
      <c r="I29" t="str">
        <f t="shared" si="1"/>
        <v>Mon - Thu - Sun</v>
      </c>
      <c r="J29" s="37">
        <f>Table3[[#This Row],[Break 1]]</f>
        <v>1.0416666666666519E-2</v>
      </c>
      <c r="K29" s="37">
        <f>Table3[[#This Row],[Break 2]]</f>
        <v>9.375E-2</v>
      </c>
      <c r="L29" s="37">
        <f>Table3[[#This Row],[Lunch]]</f>
        <v>0.1875</v>
      </c>
      <c r="M29" s="37">
        <f>Table3[[#This Row],[Break 3]]</f>
        <v>0.3125</v>
      </c>
      <c r="N29" t="str">
        <f>Table3[[#This Row],[Supervisor]]</f>
        <v>Michael Dominguez</v>
      </c>
      <c r="O29" t="str">
        <f>IFERROR(TEXT(TIMEVALUE(LEFT(Table3[[#This Row],[PH SHIFT]],5)),"h:mm AM/PM")&amp;" - "&amp;TEXT(TIMEVALUE(RIGHT(Table3[[#This Row],[PH SHIFT]],5)),"h:mm AM/PM"),"OFF")</f>
        <v>8:00 pm - 7:00 am</v>
      </c>
      <c r="P29">
        <f t="shared" si="0"/>
        <v>1</v>
      </c>
    </row>
    <row r="30" spans="1:16" x14ac:dyDescent="0.25">
      <c r="A30" t="str">
        <f>Table3[[#This Row],[Name]]</f>
        <v>Jeycel Roxas</v>
      </c>
      <c r="B30" t="str">
        <f>IFERROR(TEXT(TIMEVALUE(LEFT(Table3[[#This Row],[Monday]],5)),"h:mm AM/PM")&amp;" - "&amp;TEXT(TIMEVALUE(RIGHT(Table3[[#This Row],[Monday]],5)),"h:mm AM/PM"),"OFF")</f>
        <v>8:00 pm - 7:00 am</v>
      </c>
      <c r="C30" t="str">
        <f>IFERROR(TEXT(TIMEVALUE(LEFT(Table3[[#This Row],[Tuesday]],5)),"h:mm AM/PM")&amp;" - "&amp;TEXT(TIMEVALUE(RIGHT(Table3[[#This Row],[Tuesday]],5)),"h:mm AM/PM"),"OFF")</f>
        <v>OFF</v>
      </c>
      <c r="D30" t="str">
        <f>IFERROR(TEXT(TIMEVALUE(LEFT(Table3[[#This Row],[Wednesday]],5)),"h:mm AM/PM")&amp;" - "&amp;TEXT(TIMEVALUE(RIGHT(Table3[[#This Row],[Wednesday]],5)),"h:mm AM/PM"),"OFF")</f>
        <v>8:00 pm - 7:00 am</v>
      </c>
      <c r="E30" t="str">
        <f>IFERROR(TEXT(TIMEVALUE(LEFT(Table3[[#This Row],[Thursday]],5)),"h:mm AM/PM")&amp;" - "&amp;TEXT(TIMEVALUE(RIGHT(Table3[[#This Row],[Thursday]],5)),"h:mm AM/PM"),"OFF")</f>
        <v>8:00 pm - 7:00 am</v>
      </c>
      <c r="F30" t="str">
        <f>IFERROR(TEXT(TIMEVALUE(LEFT(Table3[[#This Row],[Friday]],5)),"h:mm AM/PM")&amp;" - "&amp;TEXT(TIMEVALUE(RIGHT(Table3[[#This Row],[Friday]],5)),"h:mm AM/PM"),"OFF")</f>
        <v>8:00 pm - 7:00 am</v>
      </c>
      <c r="G30" t="str">
        <f>IFERROR(TEXT(TIMEVALUE(LEFT(Table3[[#This Row],[Saturday]],5)),"h:mm AM/PM")&amp;" - "&amp;TEXT(TIMEVALUE(RIGHT(Table3[[#This Row],[Saturday]],5)),"h:mm AM/PM"),"OFF")</f>
        <v>OFF</v>
      </c>
      <c r="H30" t="str">
        <f>IFERROR(TEXT(TIMEVALUE(LEFT(Table3[[#This Row],[Sunday]],5)),"h:mm AM/PM")&amp;" - "&amp;TEXT(TIMEVALUE(RIGHT(Table3[[#This Row],[Sunday]],5)),"h:mm AM/PM"),"OFF")</f>
        <v>OFF</v>
      </c>
      <c r="I30" t="str">
        <f t="shared" si="1"/>
        <v>Tue - Sat - Sun</v>
      </c>
      <c r="J30" s="37">
        <f>Table3[[#This Row],[Break 1]]</f>
        <v>0.66666666666666663</v>
      </c>
      <c r="K30" s="37">
        <f>Table3[[#This Row],[Break 2]]</f>
        <v>0.76041666666666674</v>
      </c>
      <c r="L30" s="37">
        <f>Table3[[#This Row],[Lunch]]</f>
        <v>0.54166666666666663</v>
      </c>
      <c r="M30" s="37">
        <f>Table3[[#This Row],[Break 3]]</f>
        <v>0.83333333333333326</v>
      </c>
      <c r="N30" t="str">
        <f>Table3[[#This Row],[Supervisor]]</f>
        <v>Manilyn Abellar</v>
      </c>
      <c r="O30" t="str">
        <f>IFERROR(TEXT(TIMEVALUE(LEFT(Table3[[#This Row],[PH SHIFT]],5)),"h:mm AM/PM")&amp;" - "&amp;TEXT(TIMEVALUE(RIGHT(Table3[[#This Row],[PH SHIFT]],5)),"h:mm AM/PM"),"OFF")</f>
        <v>8:00 pm - 7:00 am</v>
      </c>
      <c r="P30">
        <f t="shared" si="0"/>
        <v>1</v>
      </c>
    </row>
    <row r="31" spans="1:16" x14ac:dyDescent="0.25">
      <c r="A31" t="str">
        <f>Table3[[#This Row],[Name]]</f>
        <v>Jhanelle Jane Didato</v>
      </c>
      <c r="B31" t="str">
        <f>IFERROR(TEXT(TIMEVALUE(LEFT(Table3[[#This Row],[Monday]],5)),"h:mm AM/PM")&amp;" - "&amp;TEXT(TIMEVALUE(RIGHT(Table3[[#This Row],[Monday]],5)),"h:mm AM/PM"),"OFF")</f>
        <v>OFF</v>
      </c>
      <c r="C31" t="str">
        <f>IFERROR(TEXT(TIMEVALUE(LEFT(Table3[[#This Row],[Tuesday]],5)),"h:mm AM/PM")&amp;" - "&amp;TEXT(TIMEVALUE(RIGHT(Table3[[#This Row],[Tuesday]],5)),"h:mm AM/PM"),"OFF")</f>
        <v>OFF</v>
      </c>
      <c r="D31" t="str">
        <f>IFERROR(TEXT(TIMEVALUE(LEFT(Table3[[#This Row],[Wednesday]],5)),"h:mm AM/PM")&amp;" - "&amp;TEXT(TIMEVALUE(RIGHT(Table3[[#This Row],[Wednesday]],5)),"h:mm AM/PM"),"OFF")</f>
        <v>OFF</v>
      </c>
      <c r="E31" t="str">
        <f>IFERROR(TEXT(TIMEVALUE(LEFT(Table3[[#This Row],[Thursday]],5)),"h:mm AM/PM")&amp;" - "&amp;TEXT(TIMEVALUE(RIGHT(Table3[[#This Row],[Thursday]],5)),"h:mm AM/PM"),"OFF")</f>
        <v>12:00 am - 11:00 am</v>
      </c>
      <c r="F31" t="str">
        <f>IFERROR(TEXT(TIMEVALUE(LEFT(Table3[[#This Row],[Friday]],5)),"h:mm AM/PM")&amp;" - "&amp;TEXT(TIMEVALUE(RIGHT(Table3[[#This Row],[Friday]],5)),"h:mm AM/PM"),"OFF")</f>
        <v>12:00 am - 11:00 am</v>
      </c>
      <c r="G31" t="str">
        <f>IFERROR(TEXT(TIMEVALUE(LEFT(Table3[[#This Row],[Saturday]],5)),"h:mm AM/PM")&amp;" - "&amp;TEXT(TIMEVALUE(RIGHT(Table3[[#This Row],[Saturday]],5)),"h:mm AM/PM"),"OFF")</f>
        <v>12:00 am - 11:00 am</v>
      </c>
      <c r="H31" t="str">
        <f>IFERROR(TEXT(TIMEVALUE(LEFT(Table3[[#This Row],[Sunday]],5)),"h:mm AM/PM")&amp;" - "&amp;TEXT(TIMEVALUE(RIGHT(Table3[[#This Row],[Sunday]],5)),"h:mm AM/PM"),"OFF")</f>
        <v>12:00 am - 11:00 am</v>
      </c>
      <c r="I31" t="str">
        <f t="shared" si="1"/>
        <v>Mon - Tue - Wed</v>
      </c>
      <c r="J31" s="37">
        <f>Table3[[#This Row],[Break 1]]</f>
        <v>0.95833333333333326</v>
      </c>
      <c r="K31" s="37">
        <f>Table3[[#This Row],[Break 2]]</f>
        <v>5.2083333333333481E-2</v>
      </c>
      <c r="L31" s="37">
        <f>Table3[[#This Row],[Lunch]]</f>
        <v>0.125</v>
      </c>
      <c r="M31" s="37">
        <f>Table3[[#This Row],[Break 3]]</f>
        <v>0.27083333333333348</v>
      </c>
      <c r="N31" t="str">
        <f>Table3[[#This Row],[Supervisor]]</f>
        <v>Anmecha Valencia</v>
      </c>
      <c r="O31" t="str">
        <f>IFERROR(TEXT(TIMEVALUE(LEFT(Table3[[#This Row],[PH SHIFT]],5)),"h:mm AM/PM")&amp;" - "&amp;TEXT(TIMEVALUE(RIGHT(Table3[[#This Row],[PH SHIFT]],5)),"h:mm AM/PM"),"OFF")</f>
        <v>8:00 pm - 7:00 am</v>
      </c>
      <c r="P31">
        <f t="shared" si="0"/>
        <v>1</v>
      </c>
    </row>
    <row r="32" spans="1:16" x14ac:dyDescent="0.25">
      <c r="A32" t="str">
        <f>Table3[[#This Row],[Name]]</f>
        <v>Jhonrey Jotojot</v>
      </c>
      <c r="B32" t="str">
        <f>IFERROR(TEXT(TIMEVALUE(LEFT(Table3[[#This Row],[Monday]],5)),"h:mm AM/PM")&amp;" - "&amp;TEXT(TIMEVALUE(RIGHT(Table3[[#This Row],[Monday]],5)),"h:mm AM/PM"),"OFF")</f>
        <v>OFF</v>
      </c>
      <c r="C32" t="str">
        <f>IFERROR(TEXT(TIMEVALUE(LEFT(Table3[[#This Row],[Tuesday]],5)),"h:mm AM/PM")&amp;" - "&amp;TEXT(TIMEVALUE(RIGHT(Table3[[#This Row],[Tuesday]],5)),"h:mm AM/PM"),"OFF")</f>
        <v>5:00 pm - 4:00 am</v>
      </c>
      <c r="D32" t="str">
        <f>IFERROR(TEXT(TIMEVALUE(LEFT(Table3[[#This Row],[Wednesday]],5)),"h:mm AM/PM")&amp;" - "&amp;TEXT(TIMEVALUE(RIGHT(Table3[[#This Row],[Wednesday]],5)),"h:mm AM/PM"),"OFF")</f>
        <v>5:00 pm - 4:00 am</v>
      </c>
      <c r="E32" t="str">
        <f>IFERROR(TEXT(TIMEVALUE(LEFT(Table3[[#This Row],[Thursday]],5)),"h:mm AM/PM")&amp;" - "&amp;TEXT(TIMEVALUE(RIGHT(Table3[[#This Row],[Thursday]],5)),"h:mm AM/PM"),"OFF")</f>
        <v>5:00 pm - 4:00 am</v>
      </c>
      <c r="F32" t="str">
        <f>IFERROR(TEXT(TIMEVALUE(LEFT(Table3[[#This Row],[Friday]],5)),"h:mm AM/PM")&amp;" - "&amp;TEXT(TIMEVALUE(RIGHT(Table3[[#This Row],[Friday]],5)),"h:mm AM/PM"),"OFF")</f>
        <v>5:00 pm - 4:00 am</v>
      </c>
      <c r="G32" t="str">
        <f>IFERROR(TEXT(TIMEVALUE(LEFT(Table3[[#This Row],[Saturday]],5)),"h:mm AM/PM")&amp;" - "&amp;TEXT(TIMEVALUE(RIGHT(Table3[[#This Row],[Saturday]],5)),"h:mm AM/PM"),"OFF")</f>
        <v>OFF</v>
      </c>
      <c r="H32" t="str">
        <f>IFERROR(TEXT(TIMEVALUE(LEFT(Table3[[#This Row],[Sunday]],5)),"h:mm AM/PM")&amp;" - "&amp;TEXT(TIMEVALUE(RIGHT(Table3[[#This Row],[Sunday]],5)),"h:mm AM/PM"),"OFF")</f>
        <v>OFF</v>
      </c>
      <c r="I32" t="str">
        <f t="shared" si="1"/>
        <v>Mon - Sat - Sun</v>
      </c>
      <c r="J32" s="37">
        <f>Table3[[#This Row],[Break 1]]</f>
        <v>0.80208333333333326</v>
      </c>
      <c r="K32" s="37">
        <f>Table3[[#This Row],[Break 2]]</f>
        <v>0.96875</v>
      </c>
      <c r="L32" s="37">
        <f>Table3[[#This Row],[Lunch]]</f>
        <v>0.88541666666666674</v>
      </c>
      <c r="M32" s="37">
        <f>Table3[[#This Row],[Break 3]]</f>
        <v>8.3333333333333481E-2</v>
      </c>
      <c r="N32" t="str">
        <f>Table3[[#This Row],[Supervisor]]</f>
        <v>Manilyn Abellar</v>
      </c>
      <c r="O32" t="str">
        <f>IFERROR(TEXT(TIMEVALUE(LEFT(Table3[[#This Row],[PH SHIFT]],5)),"h:mm AM/PM")&amp;" - "&amp;TEXT(TIMEVALUE(RIGHT(Table3[[#This Row],[PH SHIFT]],5)),"h:mm AM/PM"),"OFF")</f>
        <v>9:00 am - 8:00 pm</v>
      </c>
      <c r="P32">
        <f t="shared" si="0"/>
        <v>0</v>
      </c>
    </row>
    <row r="33" spans="1:16" x14ac:dyDescent="0.25">
      <c r="A33" t="str">
        <f>Table3[[#This Row],[Name]]</f>
        <v>Jieleen Villegas</v>
      </c>
      <c r="B33" t="str">
        <f>IFERROR(TEXT(TIMEVALUE(LEFT(Table3[[#This Row],[Monday]],5)),"h:mm AM/PM")&amp;" - "&amp;TEXT(TIMEVALUE(RIGHT(Table3[[#This Row],[Monday]],5)),"h:mm AM/PM"),"OFF")</f>
        <v>9:00 am - 8:00 pm</v>
      </c>
      <c r="C33" t="str">
        <f>IFERROR(TEXT(TIMEVALUE(LEFT(Table3[[#This Row],[Tuesday]],5)),"h:mm AM/PM")&amp;" - "&amp;TEXT(TIMEVALUE(RIGHT(Table3[[#This Row],[Tuesday]],5)),"h:mm AM/PM"),"OFF")</f>
        <v>9:00 am - 8:00 pm</v>
      </c>
      <c r="D33" t="str">
        <f>IFERROR(TEXT(TIMEVALUE(LEFT(Table3[[#This Row],[Wednesday]],5)),"h:mm AM/PM")&amp;" - "&amp;TEXT(TIMEVALUE(RIGHT(Table3[[#This Row],[Wednesday]],5)),"h:mm AM/PM"),"OFF")</f>
        <v>9:00 am - 8:00 pm</v>
      </c>
      <c r="E33" t="str">
        <f>IFERROR(TEXT(TIMEVALUE(LEFT(Table3[[#This Row],[Thursday]],5)),"h:mm AM/PM")&amp;" - "&amp;TEXT(TIMEVALUE(RIGHT(Table3[[#This Row],[Thursday]],5)),"h:mm AM/PM"),"OFF")</f>
        <v>OFF</v>
      </c>
      <c r="F33" t="str">
        <f>IFERROR(TEXT(TIMEVALUE(LEFT(Table3[[#This Row],[Friday]],5)),"h:mm AM/PM")&amp;" - "&amp;TEXT(TIMEVALUE(RIGHT(Table3[[#This Row],[Friday]],5)),"h:mm AM/PM"),"OFF")</f>
        <v>OFF</v>
      </c>
      <c r="G33" t="str">
        <f>IFERROR(TEXT(TIMEVALUE(LEFT(Table3[[#This Row],[Saturday]],5)),"h:mm AM/PM")&amp;" - "&amp;TEXT(TIMEVALUE(RIGHT(Table3[[#This Row],[Saturday]],5)),"h:mm AM/PM"),"OFF")</f>
        <v>OFF</v>
      </c>
      <c r="H33" t="str">
        <f>IFERROR(TEXT(TIMEVALUE(LEFT(Table3[[#This Row],[Sunday]],5)),"h:mm AM/PM")&amp;" - "&amp;TEXT(TIMEVALUE(RIGHT(Table3[[#This Row],[Sunday]],5)),"h:mm AM/PM"),"OFF")</f>
        <v>9:00 am - 8:00 pm</v>
      </c>
      <c r="I33" t="str">
        <f t="shared" si="1"/>
        <v>Thu - Fri - Sat</v>
      </c>
      <c r="J33" s="37">
        <f>Table3[[#This Row],[Break 1]]</f>
        <v>0.45833333333333348</v>
      </c>
      <c r="K33" s="37">
        <f>Table3[[#This Row],[Break 2]]</f>
        <v>0.5625</v>
      </c>
      <c r="L33" s="37">
        <f>Table3[[#This Row],[Lunch]]</f>
        <v>0.66666666666666663</v>
      </c>
      <c r="M33" s="37">
        <f>Table3[[#This Row],[Break 3]]</f>
        <v>0.79166666666666674</v>
      </c>
      <c r="N33" t="str">
        <f>Table3[[#This Row],[Supervisor]]</f>
        <v>Anmecha Valencia</v>
      </c>
      <c r="O33" t="str">
        <f>IFERROR(TEXT(TIMEVALUE(LEFT(Table3[[#This Row],[PH SHIFT]],5)),"h:mm AM/PM")&amp;" - "&amp;TEXT(TIMEVALUE(RIGHT(Table3[[#This Row],[PH SHIFT]],5)),"h:mm AM/PM"),"OFF")</f>
        <v>12:00 pm - 11:00 pm</v>
      </c>
      <c r="P33">
        <f t="shared" si="0"/>
        <v>1</v>
      </c>
    </row>
    <row r="34" spans="1:16" x14ac:dyDescent="0.25">
      <c r="A34" t="str">
        <f>Table3[[#This Row],[Name]]</f>
        <v>Joanah Carl Anoling</v>
      </c>
      <c r="B34" t="str">
        <f>IFERROR(TEXT(TIMEVALUE(LEFT(Table3[[#This Row],[Monday]],5)),"h:mm AM/PM")&amp;" - "&amp;TEXT(TIMEVALUE(RIGHT(Table3[[#This Row],[Monday]],5)),"h:mm AM/PM"),"OFF")</f>
        <v>OFF</v>
      </c>
      <c r="C34" t="str">
        <f>IFERROR(TEXT(TIMEVALUE(LEFT(Table3[[#This Row],[Tuesday]],5)),"h:mm AM/PM")&amp;" - "&amp;TEXT(TIMEVALUE(RIGHT(Table3[[#This Row],[Tuesday]],5)),"h:mm AM/PM"),"OFF")</f>
        <v>OFF</v>
      </c>
      <c r="D34" t="str">
        <f>IFERROR(TEXT(TIMEVALUE(LEFT(Table3[[#This Row],[Wednesday]],5)),"h:mm AM/PM")&amp;" - "&amp;TEXT(TIMEVALUE(RIGHT(Table3[[#This Row],[Wednesday]],5)),"h:mm AM/PM"),"OFF")</f>
        <v>12:00 pm - 11:00 pm</v>
      </c>
      <c r="E34" t="str">
        <f>IFERROR(TEXT(TIMEVALUE(LEFT(Table3[[#This Row],[Thursday]],5)),"h:mm AM/PM")&amp;" - "&amp;TEXT(TIMEVALUE(RIGHT(Table3[[#This Row],[Thursday]],5)),"h:mm AM/PM"),"OFF")</f>
        <v>12:00 pm - 11:00 pm</v>
      </c>
      <c r="F34" t="str">
        <f>IFERROR(TEXT(TIMEVALUE(LEFT(Table3[[#This Row],[Friday]],5)),"h:mm AM/PM")&amp;" - "&amp;TEXT(TIMEVALUE(RIGHT(Table3[[#This Row],[Friday]],5)),"h:mm AM/PM"),"OFF")</f>
        <v>12:00 pm - 11:00 pm</v>
      </c>
      <c r="G34" t="str">
        <f>IFERROR(TEXT(TIMEVALUE(LEFT(Table3[[#This Row],[Saturday]],5)),"h:mm AM/PM")&amp;" - "&amp;TEXT(TIMEVALUE(RIGHT(Table3[[#This Row],[Saturday]],5)),"h:mm AM/PM"),"OFF")</f>
        <v>12:00 pm - 11:00 pm</v>
      </c>
      <c r="H34" t="str">
        <f>IFERROR(TEXT(TIMEVALUE(LEFT(Table3[[#This Row],[Sunday]],5)),"h:mm AM/PM")&amp;" - "&amp;TEXT(TIMEVALUE(RIGHT(Table3[[#This Row],[Sunday]],5)),"h:mm AM/PM"),"OFF")</f>
        <v>OFF</v>
      </c>
      <c r="I34" t="str">
        <f t="shared" si="1"/>
        <v>Mon - Tue - Sun</v>
      </c>
      <c r="J34" s="37">
        <f>Table3[[#This Row],[Break 1]]</f>
        <v>0.55208333333333337</v>
      </c>
      <c r="K34" s="37">
        <f>Table3[[#This Row],[Break 2]]</f>
        <v>0.77083333333333326</v>
      </c>
      <c r="L34" s="37">
        <f>Table3[[#This Row],[Lunch]]</f>
        <v>0.625</v>
      </c>
      <c r="M34" s="37">
        <f>Table3[[#This Row],[Break 3]]</f>
        <v>0.85416666666666674</v>
      </c>
      <c r="N34" t="str">
        <f>Table3[[#This Row],[Supervisor]]</f>
        <v>Christopher Rodas</v>
      </c>
      <c r="O34" t="str">
        <f>IFERROR(TEXT(TIMEVALUE(LEFT(Table3[[#This Row],[PH SHIFT]],5)),"h:mm AM/PM")&amp;" - "&amp;TEXT(TIMEVALUE(RIGHT(Table3[[#This Row],[PH SHIFT]],5)),"h:mm AM/PM"),"OFF")</f>
        <v>8:00 pm - 7:00 am</v>
      </c>
      <c r="P34">
        <f t="shared" si="0"/>
        <v>1</v>
      </c>
    </row>
    <row r="35" spans="1:16" x14ac:dyDescent="0.25">
      <c r="A35" t="str">
        <f>Table3[[#This Row],[Name]]</f>
        <v>Joemie Ann Benedicto</v>
      </c>
      <c r="B35" t="str">
        <f>IFERROR(TEXT(TIMEVALUE(LEFT(Table3[[#This Row],[Monday]],5)),"h:mm AM/PM")&amp;" - "&amp;TEXT(TIMEVALUE(RIGHT(Table3[[#This Row],[Monday]],5)),"h:mm AM/PM"),"OFF")</f>
        <v>6:00 pm - 5:00 am</v>
      </c>
      <c r="C35" t="str">
        <f>IFERROR(TEXT(TIMEVALUE(LEFT(Table3[[#This Row],[Tuesday]],5)),"h:mm AM/PM")&amp;" - "&amp;TEXT(TIMEVALUE(RIGHT(Table3[[#This Row],[Tuesday]],5)),"h:mm AM/PM"),"OFF")</f>
        <v>6:00 pm - 5:00 am</v>
      </c>
      <c r="D35" t="str">
        <f>IFERROR(TEXT(TIMEVALUE(LEFT(Table3[[#This Row],[Wednesday]],5)),"h:mm AM/PM")&amp;" - "&amp;TEXT(TIMEVALUE(RIGHT(Table3[[#This Row],[Wednesday]],5)),"h:mm AM/PM"),"OFF")</f>
        <v>6:00 pm - 5:00 am</v>
      </c>
      <c r="E35" t="str">
        <f>IFERROR(TEXT(TIMEVALUE(LEFT(Table3[[#This Row],[Thursday]],5)),"h:mm AM/PM")&amp;" - "&amp;TEXT(TIMEVALUE(RIGHT(Table3[[#This Row],[Thursday]],5)),"h:mm AM/PM"),"OFF")</f>
        <v>6:00 pm - 5:00 am</v>
      </c>
      <c r="F35" t="str">
        <f>IFERROR(TEXT(TIMEVALUE(LEFT(Table3[[#This Row],[Friday]],5)),"h:mm AM/PM")&amp;" - "&amp;TEXT(TIMEVALUE(RIGHT(Table3[[#This Row],[Friday]],5)),"h:mm AM/PM"),"OFF")</f>
        <v>OFF</v>
      </c>
      <c r="G35" t="str">
        <f>IFERROR(TEXT(TIMEVALUE(LEFT(Table3[[#This Row],[Saturday]],5)),"h:mm AM/PM")&amp;" - "&amp;TEXT(TIMEVALUE(RIGHT(Table3[[#This Row],[Saturday]],5)),"h:mm AM/PM"),"OFF")</f>
        <v>OFF</v>
      </c>
      <c r="H35" t="str">
        <f>IFERROR(TEXT(TIMEVALUE(LEFT(Table3[[#This Row],[Sunday]],5)),"h:mm AM/PM")&amp;" - "&amp;TEXT(TIMEVALUE(RIGHT(Table3[[#This Row],[Sunday]],5)),"h:mm AM/PM"),"OFF")</f>
        <v>OFF</v>
      </c>
      <c r="I35" t="str">
        <f t="shared" si="1"/>
        <v>Fri - Sat - Sun</v>
      </c>
      <c r="J35" s="37">
        <f>Table3[[#This Row],[Break 1]]</f>
        <v>0.97916666666666674</v>
      </c>
      <c r="K35" s="37">
        <f>Table3[[#This Row],[Break 2]]</f>
        <v>0.125</v>
      </c>
      <c r="L35" s="37">
        <f>Table3[[#This Row],[Lunch]]</f>
        <v>5.2083333333333481E-2</v>
      </c>
      <c r="M35" s="37">
        <f>Table3[[#This Row],[Break 3]]</f>
        <v>0.27083333333333348</v>
      </c>
      <c r="N35" t="str">
        <f>Table3[[#This Row],[Supervisor]]</f>
        <v>Michael Dominguez</v>
      </c>
      <c r="O35" t="str">
        <f>IFERROR(TEXT(TIMEVALUE(LEFT(Table3[[#This Row],[PH SHIFT]],5)),"h:mm AM/PM")&amp;" - "&amp;TEXT(TIMEVALUE(RIGHT(Table3[[#This Row],[PH SHIFT]],5)),"h:mm AM/PM"),"OFF")</f>
        <v>9:00 pm - 8:00 am</v>
      </c>
      <c r="P35">
        <f t="shared" si="0"/>
        <v>1</v>
      </c>
    </row>
    <row r="36" spans="1:16" x14ac:dyDescent="0.25">
      <c r="A36" t="str">
        <f>Table3[[#This Row],[Name]]</f>
        <v>Joseph Brian Nagor</v>
      </c>
      <c r="B36" t="str">
        <f>IFERROR(TEXT(TIMEVALUE(LEFT(Table3[[#This Row],[Monday]],5)),"h:mm AM/PM")&amp;" - "&amp;TEXT(TIMEVALUE(RIGHT(Table3[[#This Row],[Monday]],5)),"h:mm AM/PM"),"OFF")</f>
        <v>9:00 am - 8:00 pm</v>
      </c>
      <c r="C36" t="str">
        <f>IFERROR(TEXT(TIMEVALUE(LEFT(Table3[[#This Row],[Tuesday]],5)),"h:mm AM/PM")&amp;" - "&amp;TEXT(TIMEVALUE(RIGHT(Table3[[#This Row],[Tuesday]],5)),"h:mm AM/PM"),"OFF")</f>
        <v>9:00 am - 8:00 pm</v>
      </c>
      <c r="D36" t="str">
        <f>IFERROR(TEXT(TIMEVALUE(LEFT(Table3[[#This Row],[Wednesday]],5)),"h:mm AM/PM")&amp;" - "&amp;TEXT(TIMEVALUE(RIGHT(Table3[[#This Row],[Wednesday]],5)),"h:mm AM/PM"),"OFF")</f>
        <v>OFF</v>
      </c>
      <c r="E36" t="str">
        <f>IFERROR(TEXT(TIMEVALUE(LEFT(Table3[[#This Row],[Thursday]],5)),"h:mm AM/PM")&amp;" - "&amp;TEXT(TIMEVALUE(RIGHT(Table3[[#This Row],[Thursday]],5)),"h:mm AM/PM"),"OFF")</f>
        <v>OFF</v>
      </c>
      <c r="F36" t="str">
        <f>IFERROR(TEXT(TIMEVALUE(LEFT(Table3[[#This Row],[Friday]],5)),"h:mm AM/PM")&amp;" - "&amp;TEXT(TIMEVALUE(RIGHT(Table3[[#This Row],[Friday]],5)),"h:mm AM/PM"),"OFF")</f>
        <v>9:00 am - 8:00 pm</v>
      </c>
      <c r="G36" t="str">
        <f>IFERROR(TEXT(TIMEVALUE(LEFT(Table3[[#This Row],[Saturday]],5)),"h:mm AM/PM")&amp;" - "&amp;TEXT(TIMEVALUE(RIGHT(Table3[[#This Row],[Saturday]],5)),"h:mm AM/PM"),"OFF")</f>
        <v>9:00 am - 8:00 pm</v>
      </c>
      <c r="H36" t="str">
        <f>IFERROR(TEXT(TIMEVALUE(LEFT(Table3[[#This Row],[Sunday]],5)),"h:mm AM/PM")&amp;" - "&amp;TEXT(TIMEVALUE(RIGHT(Table3[[#This Row],[Sunday]],5)),"h:mm AM/PM"),"OFF")</f>
        <v>OFF</v>
      </c>
      <c r="I36" t="str">
        <f t="shared" si="1"/>
        <v>Wed - Thu - Sun</v>
      </c>
      <c r="J36" s="37">
        <f>Table3[[#This Row],[Break 1]]</f>
        <v>0.625</v>
      </c>
      <c r="K36" s="37">
        <f>Table3[[#This Row],[Break 2]]</f>
        <v>0.71875</v>
      </c>
      <c r="L36" s="37">
        <f>Table3[[#This Row],[Lunch]]</f>
        <v>0.5</v>
      </c>
      <c r="M36" s="37">
        <f>Table3[[#This Row],[Break 3]]</f>
        <v>0.79166666666666674</v>
      </c>
      <c r="N36" t="str">
        <f>Table3[[#This Row],[Supervisor]]</f>
        <v>Remmo Panaligan</v>
      </c>
      <c r="O36" t="str">
        <f>IFERROR(TEXT(TIMEVALUE(LEFT(Table3[[#This Row],[PH SHIFT]],5)),"h:mm AM/PM")&amp;" - "&amp;TEXT(TIMEVALUE(RIGHT(Table3[[#This Row],[PH SHIFT]],5)),"h:mm AM/PM"),"OFF")</f>
        <v>1:00 am - 12:00 pm</v>
      </c>
      <c r="P36">
        <f t="shared" si="0"/>
        <v>0</v>
      </c>
    </row>
    <row r="37" spans="1:16" x14ac:dyDescent="0.25">
      <c r="A37" t="str">
        <f>Table3[[#This Row],[Name]]</f>
        <v>Josephraim Lamoste</v>
      </c>
      <c r="B37" t="str">
        <f>IFERROR(TEXT(TIMEVALUE(LEFT(Table3[[#This Row],[Monday]],5)),"h:mm AM/PM")&amp;" - "&amp;TEXT(TIMEVALUE(RIGHT(Table3[[#This Row],[Monday]],5)),"h:mm AM/PM"),"OFF")</f>
        <v>OFF</v>
      </c>
      <c r="C37" t="str">
        <f>IFERROR(TEXT(TIMEVALUE(LEFT(Table3[[#This Row],[Tuesday]],5)),"h:mm AM/PM")&amp;" - "&amp;TEXT(TIMEVALUE(RIGHT(Table3[[#This Row],[Tuesday]],5)),"h:mm AM/PM"),"OFF")</f>
        <v>1:00 am - 12:00 pm</v>
      </c>
      <c r="D37" t="str">
        <f>IFERROR(TEXT(TIMEVALUE(LEFT(Table3[[#This Row],[Wednesday]],5)),"h:mm AM/PM")&amp;" - "&amp;TEXT(TIMEVALUE(RIGHT(Table3[[#This Row],[Wednesday]],5)),"h:mm AM/PM"),"OFF")</f>
        <v>1:00 am - 12:00 pm</v>
      </c>
      <c r="E37" t="str">
        <f>IFERROR(TEXT(TIMEVALUE(LEFT(Table3[[#This Row],[Thursday]],5)),"h:mm AM/PM")&amp;" - "&amp;TEXT(TIMEVALUE(RIGHT(Table3[[#This Row],[Thursday]],5)),"h:mm AM/PM"),"OFF")</f>
        <v>1:00 am - 12:00 pm</v>
      </c>
      <c r="F37" t="str">
        <f>IFERROR(TEXT(TIMEVALUE(LEFT(Table3[[#This Row],[Friday]],5)),"h:mm AM/PM")&amp;" - "&amp;TEXT(TIMEVALUE(RIGHT(Table3[[#This Row],[Friday]],5)),"h:mm AM/PM"),"OFF")</f>
        <v>1:00 am - 12:00 pm</v>
      </c>
      <c r="G37" t="str">
        <f>IFERROR(TEXT(TIMEVALUE(LEFT(Table3[[#This Row],[Saturday]],5)),"h:mm AM/PM")&amp;" - "&amp;TEXT(TIMEVALUE(RIGHT(Table3[[#This Row],[Saturday]],5)),"h:mm AM/PM"),"OFF")</f>
        <v>OFF</v>
      </c>
      <c r="H37" t="str">
        <f>IFERROR(TEXT(TIMEVALUE(LEFT(Table3[[#This Row],[Sunday]],5)),"h:mm AM/PM")&amp;" - "&amp;TEXT(TIMEVALUE(RIGHT(Table3[[#This Row],[Sunday]],5)),"h:mm AM/PM"),"OFF")</f>
        <v>OFF</v>
      </c>
      <c r="I37" t="str">
        <f t="shared" si="1"/>
        <v>Mon - Sat - Sun</v>
      </c>
      <c r="J37" s="37">
        <f>Table3[[#This Row],[Break 1]]</f>
        <v>8.3333333333333481E-2</v>
      </c>
      <c r="K37" s="37">
        <f>Table3[[#This Row],[Break 2]]</f>
        <v>0.17708333333333348</v>
      </c>
      <c r="L37" s="37">
        <f>Table3[[#This Row],[Lunch]]</f>
        <v>0.95833333333333326</v>
      </c>
      <c r="M37" s="37">
        <f>Table3[[#This Row],[Break 3]]</f>
        <v>0.27083333333333348</v>
      </c>
      <c r="N37" t="str">
        <f>Table3[[#This Row],[Supervisor]]</f>
        <v>Christopher Rodas</v>
      </c>
      <c r="O37" t="str">
        <f>IFERROR(TEXT(TIMEVALUE(LEFT(Table3[[#This Row],[PH SHIFT]],5)),"h:mm AM/PM")&amp;" - "&amp;TEXT(TIMEVALUE(RIGHT(Table3[[#This Row],[PH SHIFT]],5)),"h:mm AM/PM"),"OFF")</f>
        <v>9:00 pm - 8:00 am</v>
      </c>
      <c r="P37">
        <f t="shared" si="0"/>
        <v>1</v>
      </c>
    </row>
    <row r="38" spans="1:16" x14ac:dyDescent="0.25">
      <c r="A38" t="str">
        <f>Table3[[#This Row],[Name]]</f>
        <v>Joshua Bagaporo</v>
      </c>
      <c r="B38" t="str">
        <f>IFERROR(TEXT(TIMEVALUE(LEFT(Table3[[#This Row],[Monday]],5)),"h:mm AM/PM")&amp;" - "&amp;TEXT(TIMEVALUE(RIGHT(Table3[[#This Row],[Monday]],5)),"h:mm AM/PM"),"OFF")</f>
        <v>OFF</v>
      </c>
      <c r="C38" t="str">
        <f>IFERROR(TEXT(TIMEVALUE(LEFT(Table3[[#This Row],[Tuesday]],5)),"h:mm AM/PM")&amp;" - "&amp;TEXT(TIMEVALUE(RIGHT(Table3[[#This Row],[Tuesday]],5)),"h:mm AM/PM"),"OFF")</f>
        <v>OFF</v>
      </c>
      <c r="D38" t="str">
        <f>IFERROR(TEXT(TIMEVALUE(LEFT(Table3[[#This Row],[Wednesday]],5)),"h:mm AM/PM")&amp;" - "&amp;TEXT(TIMEVALUE(RIGHT(Table3[[#This Row],[Wednesday]],5)),"h:mm AM/PM"),"OFF")</f>
        <v>6:00 pm - 5:00 am</v>
      </c>
      <c r="E38" t="str">
        <f>IFERROR(TEXT(TIMEVALUE(LEFT(Table3[[#This Row],[Thursday]],5)),"h:mm AM/PM")&amp;" - "&amp;TEXT(TIMEVALUE(RIGHT(Table3[[#This Row],[Thursday]],5)),"h:mm AM/PM"),"OFF")</f>
        <v>6:00 pm - 5:00 am</v>
      </c>
      <c r="F38" t="str">
        <f>IFERROR(TEXT(TIMEVALUE(LEFT(Table3[[#This Row],[Friday]],5)),"h:mm AM/PM")&amp;" - "&amp;TEXT(TIMEVALUE(RIGHT(Table3[[#This Row],[Friday]],5)),"h:mm AM/PM"),"OFF")</f>
        <v>6:00 pm - 5:00 am</v>
      </c>
      <c r="G38" t="str">
        <f>IFERROR(TEXT(TIMEVALUE(LEFT(Table3[[#This Row],[Saturday]],5)),"h:mm AM/PM")&amp;" - "&amp;TEXT(TIMEVALUE(RIGHT(Table3[[#This Row],[Saturday]],5)),"h:mm AM/PM"),"OFF")</f>
        <v>6:00 pm - 5:00 am</v>
      </c>
      <c r="H38" t="str">
        <f>IFERROR(TEXT(TIMEVALUE(LEFT(Table3[[#This Row],[Sunday]],5)),"h:mm AM/PM")&amp;" - "&amp;TEXT(TIMEVALUE(RIGHT(Table3[[#This Row],[Sunday]],5)),"h:mm AM/PM"),"OFF")</f>
        <v>OFF</v>
      </c>
      <c r="I38" t="str">
        <f t="shared" si="1"/>
        <v>Mon - Tue - Sun</v>
      </c>
      <c r="J38" s="37">
        <f>Table3[[#This Row],[Break 1]]</f>
        <v>0.95833333333333326</v>
      </c>
      <c r="K38" s="37">
        <f>Table3[[#This Row],[Break 2]]</f>
        <v>4.1666666666666519E-2</v>
      </c>
      <c r="L38" s="37">
        <f>Table3[[#This Row],[Lunch]]</f>
        <v>0.14583333333333348</v>
      </c>
      <c r="M38" s="37">
        <f>Table3[[#This Row],[Break 3]]</f>
        <v>0.26041666666666652</v>
      </c>
      <c r="N38" t="str">
        <f>Table3[[#This Row],[Supervisor]]</f>
        <v>Michael Dominguez</v>
      </c>
      <c r="O38" t="str">
        <f>IFERROR(TEXT(TIMEVALUE(LEFT(Table3[[#This Row],[PH SHIFT]],5)),"h:mm AM/PM")&amp;" - "&amp;TEXT(TIMEVALUE(RIGHT(Table3[[#This Row],[PH SHIFT]],5)),"h:mm AM/PM"),"OFF")</f>
        <v>9:00 pm - 8:00 am</v>
      </c>
      <c r="P38">
        <f t="shared" si="0"/>
        <v>1</v>
      </c>
    </row>
    <row r="39" spans="1:16" x14ac:dyDescent="0.25">
      <c r="A39" t="str">
        <f>Table3[[#This Row],[Name]]</f>
        <v>Joshua Mendoza</v>
      </c>
      <c r="B39" t="str">
        <f>IFERROR(TEXT(TIMEVALUE(LEFT(Table3[[#This Row],[Monday]],5)),"h:mm AM/PM")&amp;" - "&amp;TEXT(TIMEVALUE(RIGHT(Table3[[#This Row],[Monday]],5)),"h:mm AM/PM"),"OFF")</f>
        <v>9:00 pm - 8:00 am</v>
      </c>
      <c r="C39" t="str">
        <f>IFERROR(TEXT(TIMEVALUE(LEFT(Table3[[#This Row],[Tuesday]],5)),"h:mm AM/PM")&amp;" - "&amp;TEXT(TIMEVALUE(RIGHT(Table3[[#This Row],[Tuesday]],5)),"h:mm AM/PM"),"OFF")</f>
        <v>9:00 pm - 8:00 am</v>
      </c>
      <c r="D39" t="str">
        <f>IFERROR(TEXT(TIMEVALUE(LEFT(Table3[[#This Row],[Wednesday]],5)),"h:mm AM/PM")&amp;" - "&amp;TEXT(TIMEVALUE(RIGHT(Table3[[#This Row],[Wednesday]],5)),"h:mm AM/PM"),"OFF")</f>
        <v>9:00 pm - 8:00 am</v>
      </c>
      <c r="E39" t="str">
        <f>IFERROR(TEXT(TIMEVALUE(LEFT(Table3[[#This Row],[Thursday]],5)),"h:mm AM/PM")&amp;" - "&amp;TEXT(TIMEVALUE(RIGHT(Table3[[#This Row],[Thursday]],5)),"h:mm AM/PM"),"OFF")</f>
        <v>OFF</v>
      </c>
      <c r="F39" t="str">
        <f>IFERROR(TEXT(TIMEVALUE(LEFT(Table3[[#This Row],[Friday]],5)),"h:mm AM/PM")&amp;" - "&amp;TEXT(TIMEVALUE(RIGHT(Table3[[#This Row],[Friday]],5)),"h:mm AM/PM"),"OFF")</f>
        <v>9:00 pm - 8:00 am</v>
      </c>
      <c r="G39" t="str">
        <f>IFERROR(TEXT(TIMEVALUE(LEFT(Table3[[#This Row],[Saturday]],5)),"h:mm AM/PM")&amp;" - "&amp;TEXT(TIMEVALUE(RIGHT(Table3[[#This Row],[Saturday]],5)),"h:mm AM/PM"),"OFF")</f>
        <v>OFF</v>
      </c>
      <c r="H39" t="str">
        <f>IFERROR(TEXT(TIMEVALUE(LEFT(Table3[[#This Row],[Sunday]],5)),"h:mm AM/PM")&amp;" - "&amp;TEXT(TIMEVALUE(RIGHT(Table3[[#This Row],[Sunday]],5)),"h:mm AM/PM"),"OFF")</f>
        <v>OFF</v>
      </c>
      <c r="I39" t="str">
        <f t="shared" si="1"/>
        <v>Thu - Sat - Sun</v>
      </c>
      <c r="J39" s="37">
        <f>Table3[[#This Row],[Break 1]]</f>
        <v>4.1666666666666519E-2</v>
      </c>
      <c r="K39" s="37">
        <f>Table3[[#This Row],[Break 2]]</f>
        <v>0.13541666666666652</v>
      </c>
      <c r="L39" s="37">
        <f>Table3[[#This Row],[Lunch]]</f>
        <v>0.22916666666666652</v>
      </c>
      <c r="M39" s="37">
        <f>Table3[[#This Row],[Break 3]]</f>
        <v>0.35416666666666652</v>
      </c>
      <c r="N39" t="str">
        <f>Table3[[#This Row],[Supervisor]]</f>
        <v>Anmecha Valencia</v>
      </c>
      <c r="O39" t="str">
        <f>IFERROR(TEXT(TIMEVALUE(LEFT(Table3[[#This Row],[PH SHIFT]],5)),"h:mm AM/PM")&amp;" - "&amp;TEXT(TIMEVALUE(RIGHT(Table3[[#This Row],[PH SHIFT]],5)),"h:mm AM/PM"),"OFF")</f>
        <v>9:00 pm - 8:00 am</v>
      </c>
      <c r="P39">
        <f t="shared" si="0"/>
        <v>1</v>
      </c>
    </row>
    <row r="40" spans="1:16" x14ac:dyDescent="0.25">
      <c r="A40" t="str">
        <f>Table3[[#This Row],[Name]]</f>
        <v>Juvy Labong</v>
      </c>
      <c r="B40" t="str">
        <f>IFERROR(TEXT(TIMEVALUE(LEFT(Table3[[#This Row],[Monday]],5)),"h:mm AM/PM")&amp;" - "&amp;TEXT(TIMEVALUE(RIGHT(Table3[[#This Row],[Monday]],5)),"h:mm AM/PM"),"OFF")</f>
        <v>8:00 pm - 7:00 am</v>
      </c>
      <c r="C40" t="str">
        <f>IFERROR(TEXT(TIMEVALUE(LEFT(Table3[[#This Row],[Tuesday]],5)),"h:mm AM/PM")&amp;" - "&amp;TEXT(TIMEVALUE(RIGHT(Table3[[#This Row],[Tuesday]],5)),"h:mm AM/PM"),"OFF")</f>
        <v>OFF</v>
      </c>
      <c r="D40" t="str">
        <f>IFERROR(TEXT(TIMEVALUE(LEFT(Table3[[#This Row],[Wednesday]],5)),"h:mm AM/PM")&amp;" - "&amp;TEXT(TIMEVALUE(RIGHT(Table3[[#This Row],[Wednesday]],5)),"h:mm AM/PM"),"OFF")</f>
        <v>8:00 pm - 7:00 am</v>
      </c>
      <c r="E40" t="str">
        <f>IFERROR(TEXT(TIMEVALUE(LEFT(Table3[[#This Row],[Thursday]],5)),"h:mm AM/PM")&amp;" - "&amp;TEXT(TIMEVALUE(RIGHT(Table3[[#This Row],[Thursday]],5)),"h:mm AM/PM"),"OFF")</f>
        <v>8:00 pm - 7:00 am</v>
      </c>
      <c r="F40" t="str">
        <f>IFERROR(TEXT(TIMEVALUE(LEFT(Table3[[#This Row],[Friday]],5)),"h:mm AM/PM")&amp;" - "&amp;TEXT(TIMEVALUE(RIGHT(Table3[[#This Row],[Friday]],5)),"h:mm AM/PM"),"OFF")</f>
        <v>8:00 pm - 7:00 am</v>
      </c>
      <c r="G40" t="str">
        <f>IFERROR(TEXT(TIMEVALUE(LEFT(Table3[[#This Row],[Saturday]],5)),"h:mm AM/PM")&amp;" - "&amp;TEXT(TIMEVALUE(RIGHT(Table3[[#This Row],[Saturday]],5)),"h:mm AM/PM"),"OFF")</f>
        <v>OFF</v>
      </c>
      <c r="H40" t="str">
        <f>IFERROR(TEXT(TIMEVALUE(LEFT(Table3[[#This Row],[Sunday]],5)),"h:mm AM/PM")&amp;" - "&amp;TEXT(TIMEVALUE(RIGHT(Table3[[#This Row],[Sunday]],5)),"h:mm AM/PM"),"OFF")</f>
        <v>OFF</v>
      </c>
      <c r="I40" t="str">
        <f t="shared" si="1"/>
        <v>Tue - Sat - Sun</v>
      </c>
      <c r="J40" s="37">
        <f>Table3[[#This Row],[Break 1]]</f>
        <v>0.95833333333333326</v>
      </c>
      <c r="K40" s="37">
        <f>Table3[[#This Row],[Break 2]]</f>
        <v>7.2916666666666519E-2</v>
      </c>
      <c r="L40" s="37">
        <f>Table3[[#This Row],[Lunch]]</f>
        <v>0.14583333333333348</v>
      </c>
      <c r="M40" s="37">
        <f>Table3[[#This Row],[Break 3]]</f>
        <v>0.27083333333333348</v>
      </c>
      <c r="N40" t="str">
        <f>Table3[[#This Row],[Supervisor]]</f>
        <v>Anmecha Valencia</v>
      </c>
      <c r="O40" t="str">
        <f>IFERROR(TEXT(TIMEVALUE(LEFT(Table3[[#This Row],[PH SHIFT]],5)),"h:mm AM/PM")&amp;" - "&amp;TEXT(TIMEVALUE(RIGHT(Table3[[#This Row],[PH SHIFT]],5)),"h:mm AM/PM"),"OFF")</f>
        <v>9:00 pm - 8:00 am</v>
      </c>
      <c r="P40">
        <f t="shared" si="0"/>
        <v>1</v>
      </c>
    </row>
    <row r="41" spans="1:16" x14ac:dyDescent="0.25">
      <c r="A41" t="str">
        <f>Table3[[#This Row],[Name]]</f>
        <v>Kathleen Melecio</v>
      </c>
      <c r="B41" t="str">
        <f>IFERROR(TEXT(TIMEVALUE(LEFT(Table3[[#This Row],[Monday]],5)),"h:mm AM/PM")&amp;" - "&amp;TEXT(TIMEVALUE(RIGHT(Table3[[#This Row],[Monday]],5)),"h:mm AM/PM"),"OFF")</f>
        <v>OFF</v>
      </c>
      <c r="C41" t="str">
        <f>IFERROR(TEXT(TIMEVALUE(LEFT(Table3[[#This Row],[Tuesday]],5)),"h:mm AM/PM")&amp;" - "&amp;TEXT(TIMEVALUE(RIGHT(Table3[[#This Row],[Tuesday]],5)),"h:mm AM/PM"),"OFF")</f>
        <v>10:30 am - 9:30 pm</v>
      </c>
      <c r="D41" t="str">
        <f>IFERROR(TEXT(TIMEVALUE(LEFT(Table3[[#This Row],[Wednesday]],5)),"h:mm AM/PM")&amp;" - "&amp;TEXT(TIMEVALUE(RIGHT(Table3[[#This Row],[Wednesday]],5)),"h:mm AM/PM"),"OFF")</f>
        <v>10:30 am - 9:30 pm</v>
      </c>
      <c r="E41" t="str">
        <f>IFERROR(TEXT(TIMEVALUE(LEFT(Table3[[#This Row],[Thursday]],5)),"h:mm AM/PM")&amp;" - "&amp;TEXT(TIMEVALUE(RIGHT(Table3[[#This Row],[Thursday]],5)),"h:mm AM/PM"),"OFF")</f>
        <v>10:30 am - 9:30 pm</v>
      </c>
      <c r="F41" t="str">
        <f>IFERROR(TEXT(TIMEVALUE(LEFT(Table3[[#This Row],[Friday]],5)),"h:mm AM/PM")&amp;" - "&amp;TEXT(TIMEVALUE(RIGHT(Table3[[#This Row],[Friday]],5)),"h:mm AM/PM"),"OFF")</f>
        <v>OFF</v>
      </c>
      <c r="G41" t="str">
        <f>IFERROR(TEXT(TIMEVALUE(LEFT(Table3[[#This Row],[Saturday]],5)),"h:mm AM/PM")&amp;" - "&amp;TEXT(TIMEVALUE(RIGHT(Table3[[#This Row],[Saturday]],5)),"h:mm AM/PM"),"OFF")</f>
        <v>OFF</v>
      </c>
      <c r="H41" t="str">
        <f>IFERROR(TEXT(TIMEVALUE(LEFT(Table3[[#This Row],[Sunday]],5)),"h:mm AM/PM")&amp;" - "&amp;TEXT(TIMEVALUE(RIGHT(Table3[[#This Row],[Sunday]],5)),"h:mm AM/PM"),"OFF")</f>
        <v>10:30 am - 9:30 pm</v>
      </c>
      <c r="I41" t="str">
        <f t="shared" si="1"/>
        <v>Mon - Fri - Sat</v>
      </c>
      <c r="J41" s="37">
        <f>Table3[[#This Row],[Break 1]]</f>
        <v>0.84375</v>
      </c>
      <c r="K41" s="37">
        <f>Table3[[#This Row],[Break 2]]</f>
        <v>3.125E-2</v>
      </c>
      <c r="L41" s="37">
        <f>Table3[[#This Row],[Lunch]]</f>
        <v>0.91666666666666674</v>
      </c>
      <c r="M41" s="37">
        <f>Table3[[#This Row],[Break 3]]</f>
        <v>0.125</v>
      </c>
      <c r="N41" t="str">
        <f>Table3[[#This Row],[Supervisor]]</f>
        <v>Christopher Rodas</v>
      </c>
      <c r="O41" t="str">
        <f>IFERROR(TEXT(TIMEVALUE(LEFT(Table3[[#This Row],[PH SHIFT]],5)),"h:mm AM/PM")&amp;" - "&amp;TEXT(TIMEVALUE(RIGHT(Table3[[#This Row],[PH SHIFT]],5)),"h:mm AM/PM"),"OFF")</f>
        <v>9:00 pm - 8:00 am</v>
      </c>
      <c r="P41">
        <f t="shared" si="0"/>
        <v>1</v>
      </c>
    </row>
    <row r="42" spans="1:16" x14ac:dyDescent="0.25">
      <c r="A42" t="str">
        <f>Table3[[#This Row],[Name]]</f>
        <v>Kenneth Oribello</v>
      </c>
      <c r="B42" t="str">
        <f>IFERROR(TEXT(TIMEVALUE(LEFT(Table3[[#This Row],[Monday]],5)),"h:mm AM/PM")&amp;" - "&amp;TEXT(TIMEVALUE(RIGHT(Table3[[#This Row],[Monday]],5)),"h:mm AM/PM"),"OFF")</f>
        <v>8:00 pm - 7:00 am</v>
      </c>
      <c r="C42" t="str">
        <f>IFERROR(TEXT(TIMEVALUE(LEFT(Table3[[#This Row],[Tuesday]],5)),"h:mm AM/PM")&amp;" - "&amp;TEXT(TIMEVALUE(RIGHT(Table3[[#This Row],[Tuesday]],5)),"h:mm AM/PM"),"OFF")</f>
        <v>8:00 pm - 7:00 am</v>
      </c>
      <c r="D42" t="str">
        <f>IFERROR(TEXT(TIMEVALUE(LEFT(Table3[[#This Row],[Wednesday]],5)),"h:mm AM/PM")&amp;" - "&amp;TEXT(TIMEVALUE(RIGHT(Table3[[#This Row],[Wednesday]],5)),"h:mm AM/PM"),"OFF")</f>
        <v>OFF</v>
      </c>
      <c r="E42" t="str">
        <f>IFERROR(TEXT(TIMEVALUE(LEFT(Table3[[#This Row],[Thursday]],5)),"h:mm AM/PM")&amp;" - "&amp;TEXT(TIMEVALUE(RIGHT(Table3[[#This Row],[Thursday]],5)),"h:mm AM/PM"),"OFF")</f>
        <v>8:00 pm - 7:00 am</v>
      </c>
      <c r="F42" t="str">
        <f>IFERROR(TEXT(TIMEVALUE(LEFT(Table3[[#This Row],[Friday]],5)),"h:mm AM/PM")&amp;" - "&amp;TEXT(TIMEVALUE(RIGHT(Table3[[#This Row],[Friday]],5)),"h:mm AM/PM"),"OFF")</f>
        <v>8:00 pm - 7:00 am</v>
      </c>
      <c r="G42" t="str">
        <f>IFERROR(TEXT(TIMEVALUE(LEFT(Table3[[#This Row],[Saturday]],5)),"h:mm AM/PM")&amp;" - "&amp;TEXT(TIMEVALUE(RIGHT(Table3[[#This Row],[Saturday]],5)),"h:mm AM/PM"),"OFF")</f>
        <v>OFF</v>
      </c>
      <c r="H42" t="str">
        <f>IFERROR(TEXT(TIMEVALUE(LEFT(Table3[[#This Row],[Sunday]],5)),"h:mm AM/PM")&amp;" - "&amp;TEXT(TIMEVALUE(RIGHT(Table3[[#This Row],[Sunday]],5)),"h:mm AM/PM"),"OFF")</f>
        <v>OFF</v>
      </c>
      <c r="I42" t="str">
        <f t="shared" si="1"/>
        <v>Wed - Sat - Sun</v>
      </c>
      <c r="J42" s="37">
        <f>Table3[[#This Row],[Break 1]]</f>
        <v>0.9375</v>
      </c>
      <c r="K42" s="37">
        <f>Table3[[#This Row],[Break 2]]</f>
        <v>0.1875</v>
      </c>
      <c r="L42" s="37">
        <f>Table3[[#This Row],[Lunch]]</f>
        <v>6.25E-2</v>
      </c>
      <c r="M42" s="37">
        <f>Table3[[#This Row],[Break 3]]</f>
        <v>0.25</v>
      </c>
      <c r="N42" t="str">
        <f>Table3[[#This Row],[Supervisor]]</f>
        <v>Michael Dominguez</v>
      </c>
      <c r="O42" t="str">
        <f>IFERROR(TEXT(TIMEVALUE(LEFT(Table3[[#This Row],[PH SHIFT]],5)),"h:mm AM/PM")&amp;" - "&amp;TEXT(TIMEVALUE(RIGHT(Table3[[#This Row],[PH SHIFT]],5)),"h:mm AM/PM"),"OFF")</f>
        <v>5:00 am - 4:00 pm</v>
      </c>
      <c r="P42">
        <f t="shared" si="0"/>
        <v>0</v>
      </c>
    </row>
    <row r="43" spans="1:16" x14ac:dyDescent="0.25">
      <c r="A43" t="str">
        <f>Table3[[#This Row],[Name]]</f>
        <v>Kirby Santos</v>
      </c>
      <c r="B43" t="str">
        <f>IFERROR(TEXT(TIMEVALUE(LEFT(Table3[[#This Row],[Monday]],5)),"h:mm AM/PM")&amp;" - "&amp;TEXT(TIMEVALUE(RIGHT(Table3[[#This Row],[Monday]],5)),"h:mm AM/PM"),"OFF")</f>
        <v>OFF</v>
      </c>
      <c r="C43" t="str">
        <f>IFERROR(TEXT(TIMEVALUE(LEFT(Table3[[#This Row],[Tuesday]],5)),"h:mm AM/PM")&amp;" - "&amp;TEXT(TIMEVALUE(RIGHT(Table3[[#This Row],[Tuesday]],5)),"h:mm AM/PM"),"OFF")</f>
        <v>OFF</v>
      </c>
      <c r="D43" t="str">
        <f>IFERROR(TEXT(TIMEVALUE(LEFT(Table3[[#This Row],[Wednesday]],5)),"h:mm AM/PM")&amp;" - "&amp;TEXT(TIMEVALUE(RIGHT(Table3[[#This Row],[Wednesday]],5)),"h:mm AM/PM"),"OFF")</f>
        <v>5:00 am - 4:00 pm</v>
      </c>
      <c r="E43" t="str">
        <f>IFERROR(TEXT(TIMEVALUE(LEFT(Table3[[#This Row],[Thursday]],5)),"h:mm AM/PM")&amp;" - "&amp;TEXT(TIMEVALUE(RIGHT(Table3[[#This Row],[Thursday]],5)),"h:mm AM/PM"),"OFF")</f>
        <v>5:00 am - 4:00 pm</v>
      </c>
      <c r="F43" t="str">
        <f>IFERROR(TEXT(TIMEVALUE(LEFT(Table3[[#This Row],[Friday]],5)),"h:mm AM/PM")&amp;" - "&amp;TEXT(TIMEVALUE(RIGHT(Table3[[#This Row],[Friday]],5)),"h:mm AM/PM"),"OFF")</f>
        <v>5:00 am - 4:00 pm</v>
      </c>
      <c r="G43" t="str">
        <f>IFERROR(TEXT(TIMEVALUE(LEFT(Table3[[#This Row],[Saturday]],5)),"h:mm AM/PM")&amp;" - "&amp;TEXT(TIMEVALUE(RIGHT(Table3[[#This Row],[Saturday]],5)),"h:mm AM/PM"),"OFF")</f>
        <v>5:00 am - 4:00 pm</v>
      </c>
      <c r="H43" t="str">
        <f>IFERROR(TEXT(TIMEVALUE(LEFT(Table3[[#This Row],[Sunday]],5)),"h:mm AM/PM")&amp;" - "&amp;TEXT(TIMEVALUE(RIGHT(Table3[[#This Row],[Sunday]],5)),"h:mm AM/PM"),"OFF")</f>
        <v>OFF</v>
      </c>
      <c r="I43" t="str">
        <f t="shared" si="1"/>
        <v>Mon - Tue - Sun</v>
      </c>
      <c r="J43" s="37">
        <f>Table3[[#This Row],[Break 1]]</f>
        <v>0.3125</v>
      </c>
      <c r="K43" s="37">
        <f>Table3[[#This Row],[Break 2]]</f>
        <v>0.5</v>
      </c>
      <c r="L43" s="37">
        <f>Table3[[#This Row],[Lunch]]</f>
        <v>0.40625</v>
      </c>
      <c r="M43" s="37">
        <f>Table3[[#This Row],[Break 3]]</f>
        <v>0.60416666666666663</v>
      </c>
      <c r="N43" t="str">
        <f>Table3[[#This Row],[Supervisor]]</f>
        <v>Manilyn Abellar</v>
      </c>
      <c r="O43" t="str">
        <f>IFERROR(TEXT(TIMEVALUE(LEFT(Table3[[#This Row],[PH SHIFT]],5)),"h:mm AM/PM")&amp;" - "&amp;TEXT(TIMEVALUE(RIGHT(Table3[[#This Row],[PH SHIFT]],5)),"h:mm AM/PM"),"OFF")</f>
        <v>8:00 pm - 7:00 am</v>
      </c>
      <c r="P43">
        <f t="shared" si="0"/>
        <v>1</v>
      </c>
    </row>
    <row r="44" spans="1:16" x14ac:dyDescent="0.25">
      <c r="A44" t="str">
        <f>Table3[[#This Row],[Name]]</f>
        <v>Lanz Jason Medallo</v>
      </c>
      <c r="B44" t="str">
        <f>IFERROR(TEXT(TIMEVALUE(LEFT(Table3[[#This Row],[Monday]],5)),"h:mm AM/PM")&amp;" - "&amp;TEXT(TIMEVALUE(RIGHT(Table3[[#This Row],[Monday]],5)),"h:mm AM/PM"),"OFF")</f>
        <v>8:00 pm - 7:00 am</v>
      </c>
      <c r="C44" t="str">
        <f>IFERROR(TEXT(TIMEVALUE(LEFT(Table3[[#This Row],[Tuesday]],5)),"h:mm AM/PM")&amp;" - "&amp;TEXT(TIMEVALUE(RIGHT(Table3[[#This Row],[Tuesday]],5)),"h:mm AM/PM"),"OFF")</f>
        <v>8:00 pm - 7:00 am</v>
      </c>
      <c r="D44" t="str">
        <f>IFERROR(TEXT(TIMEVALUE(LEFT(Table3[[#This Row],[Wednesday]],5)),"h:mm AM/PM")&amp;" - "&amp;TEXT(TIMEVALUE(RIGHT(Table3[[#This Row],[Wednesday]],5)),"h:mm AM/PM"),"OFF")</f>
        <v>OFF</v>
      </c>
      <c r="E44" t="str">
        <f>IFERROR(TEXT(TIMEVALUE(LEFT(Table3[[#This Row],[Thursday]],5)),"h:mm AM/PM")&amp;" - "&amp;TEXT(TIMEVALUE(RIGHT(Table3[[#This Row],[Thursday]],5)),"h:mm AM/PM"),"OFF")</f>
        <v>8:00 pm - 7:00 am</v>
      </c>
      <c r="F44" t="str">
        <f>IFERROR(TEXT(TIMEVALUE(LEFT(Table3[[#This Row],[Friday]],5)),"h:mm AM/PM")&amp;" - "&amp;TEXT(TIMEVALUE(RIGHT(Table3[[#This Row],[Friday]],5)),"h:mm AM/PM"),"OFF")</f>
        <v>8:00 pm - 7:00 am</v>
      </c>
      <c r="G44" t="str">
        <f>IFERROR(TEXT(TIMEVALUE(LEFT(Table3[[#This Row],[Saturday]],5)),"h:mm AM/PM")&amp;" - "&amp;TEXT(TIMEVALUE(RIGHT(Table3[[#This Row],[Saturday]],5)),"h:mm AM/PM"),"OFF")</f>
        <v>OFF</v>
      </c>
      <c r="H44" t="str">
        <f>IFERROR(TEXT(TIMEVALUE(LEFT(Table3[[#This Row],[Sunday]],5)),"h:mm AM/PM")&amp;" - "&amp;TEXT(TIMEVALUE(RIGHT(Table3[[#This Row],[Sunday]],5)),"h:mm AM/PM"),"OFF")</f>
        <v>OFF</v>
      </c>
      <c r="I44" t="str">
        <f t="shared" si="1"/>
        <v>Wed - Sat - Sun</v>
      </c>
      <c r="J44" s="37">
        <f>Table3[[#This Row],[Break 1]]</f>
        <v>0.91666666666666674</v>
      </c>
      <c r="K44" s="37">
        <f>Table3[[#This Row],[Break 2]]</f>
        <v>0.125</v>
      </c>
      <c r="L44" s="37">
        <f>Table3[[#This Row],[Lunch]]</f>
        <v>0</v>
      </c>
      <c r="M44" s="37">
        <f>Table3[[#This Row],[Break 3]]</f>
        <v>0.21875</v>
      </c>
      <c r="N44" t="str">
        <f>Table3[[#This Row],[Supervisor]]</f>
        <v>Remmo Panaligan</v>
      </c>
      <c r="O44" t="str">
        <f>IFERROR(TEXT(TIMEVALUE(LEFT(Table3[[#This Row],[PH SHIFT]],5)),"h:mm AM/PM")&amp;" - "&amp;TEXT(TIMEVALUE(RIGHT(Table3[[#This Row],[PH SHIFT]],5)),"h:mm AM/PM"),"OFF")</f>
        <v>9:00 pm - 8:00 am</v>
      </c>
      <c r="P44">
        <f t="shared" si="0"/>
        <v>1</v>
      </c>
    </row>
    <row r="45" spans="1:16" x14ac:dyDescent="0.25">
      <c r="A45" t="str">
        <f>Table3[[#This Row],[Name]]</f>
        <v>Lee Joseph Agbanlog</v>
      </c>
      <c r="B45" t="str">
        <f>IFERROR(TEXT(TIMEVALUE(LEFT(Table3[[#This Row],[Monday]],5)),"h:mm AM/PM")&amp;" - "&amp;TEXT(TIMEVALUE(RIGHT(Table3[[#This Row],[Monday]],5)),"h:mm AM/PM"),"OFF")</f>
        <v>9:00 pm - 8:00 am</v>
      </c>
      <c r="C45" t="str">
        <f>IFERROR(TEXT(TIMEVALUE(LEFT(Table3[[#This Row],[Tuesday]],5)),"h:mm AM/PM")&amp;" - "&amp;TEXT(TIMEVALUE(RIGHT(Table3[[#This Row],[Tuesday]],5)),"h:mm AM/PM"),"OFF")</f>
        <v>9:00 pm - 8:00 am</v>
      </c>
      <c r="D45" t="str">
        <f>IFERROR(TEXT(TIMEVALUE(LEFT(Table3[[#This Row],[Wednesday]],5)),"h:mm AM/PM")&amp;" - "&amp;TEXT(TIMEVALUE(RIGHT(Table3[[#This Row],[Wednesday]],5)),"h:mm AM/PM"),"OFF")</f>
        <v>OFF</v>
      </c>
      <c r="E45" t="str">
        <f>IFERROR(TEXT(TIMEVALUE(LEFT(Table3[[#This Row],[Thursday]],5)),"h:mm AM/PM")&amp;" - "&amp;TEXT(TIMEVALUE(RIGHT(Table3[[#This Row],[Thursday]],5)),"h:mm AM/PM"),"OFF")</f>
        <v>9:00 pm - 8:00 am</v>
      </c>
      <c r="F45" t="str">
        <f>IFERROR(TEXT(TIMEVALUE(LEFT(Table3[[#This Row],[Friday]],5)),"h:mm AM/PM")&amp;" - "&amp;TEXT(TIMEVALUE(RIGHT(Table3[[#This Row],[Friday]],5)),"h:mm AM/PM"),"OFF")</f>
        <v>9:00 pm - 8:00 am</v>
      </c>
      <c r="G45" t="str">
        <f>IFERROR(TEXT(TIMEVALUE(LEFT(Table3[[#This Row],[Saturday]],5)),"h:mm AM/PM")&amp;" - "&amp;TEXT(TIMEVALUE(RIGHT(Table3[[#This Row],[Saturday]],5)),"h:mm AM/PM"),"OFF")</f>
        <v>OFF</v>
      </c>
      <c r="H45" t="str">
        <f>IFERROR(TEXT(TIMEVALUE(LEFT(Table3[[#This Row],[Sunday]],5)),"h:mm AM/PM")&amp;" - "&amp;TEXT(TIMEVALUE(RIGHT(Table3[[#This Row],[Sunday]],5)),"h:mm AM/PM"),"OFF")</f>
        <v>OFF</v>
      </c>
      <c r="I45" t="str">
        <f t="shared" si="1"/>
        <v>Wed - Sat - Sun</v>
      </c>
      <c r="J45" s="37">
        <f>Table3[[#This Row],[Break 1]]</f>
        <v>0.98958333333333326</v>
      </c>
      <c r="K45" s="37">
        <f>Table3[[#This Row],[Break 2]]</f>
        <v>0.19791666666666652</v>
      </c>
      <c r="L45" s="37">
        <f>Table3[[#This Row],[Lunch]]</f>
        <v>7.2916666666666519E-2</v>
      </c>
      <c r="M45" s="37">
        <f>Table3[[#This Row],[Break 3]]</f>
        <v>0.28125</v>
      </c>
      <c r="N45" t="str">
        <f>Table3[[#This Row],[Supervisor]]</f>
        <v>Michael Dominguez</v>
      </c>
      <c r="O45" t="str">
        <f>IFERROR(TEXT(TIMEVALUE(LEFT(Table3[[#This Row],[PH SHIFT]],5)),"h:mm AM/PM")&amp;" - "&amp;TEXT(TIMEVALUE(RIGHT(Table3[[#This Row],[PH SHIFT]],5)),"h:mm AM/PM"),"OFF")</f>
        <v>9:00 pm - 8:00 am</v>
      </c>
      <c r="P45">
        <f t="shared" si="0"/>
        <v>1</v>
      </c>
    </row>
    <row r="46" spans="1:16" x14ac:dyDescent="0.25">
      <c r="A46" t="str">
        <f>Table3[[#This Row],[Name]]</f>
        <v>Lovelyn Nicole Magcuyao</v>
      </c>
      <c r="B46" t="str">
        <f>IFERROR(TEXT(TIMEVALUE(LEFT(Table3[[#This Row],[Monday]],5)),"h:mm AM/PM")&amp;" - "&amp;TEXT(TIMEVALUE(RIGHT(Table3[[#This Row],[Monday]],5)),"h:mm AM/PM"),"OFF")</f>
        <v>9:00 pm - 8:00 am</v>
      </c>
      <c r="C46" t="str">
        <f>IFERROR(TEXT(TIMEVALUE(LEFT(Table3[[#This Row],[Tuesday]],5)),"h:mm AM/PM")&amp;" - "&amp;TEXT(TIMEVALUE(RIGHT(Table3[[#This Row],[Tuesday]],5)),"h:mm AM/PM"),"OFF")</f>
        <v>9:00 pm - 8:00 am</v>
      </c>
      <c r="D46" t="str">
        <f>IFERROR(TEXT(TIMEVALUE(LEFT(Table3[[#This Row],[Wednesday]],5)),"h:mm AM/PM")&amp;" - "&amp;TEXT(TIMEVALUE(RIGHT(Table3[[#This Row],[Wednesday]],5)),"h:mm AM/PM"),"OFF")</f>
        <v>9:00 pm - 8:00 am</v>
      </c>
      <c r="E46" t="str">
        <f>IFERROR(TEXT(TIMEVALUE(LEFT(Table3[[#This Row],[Thursday]],5)),"h:mm AM/PM")&amp;" - "&amp;TEXT(TIMEVALUE(RIGHT(Table3[[#This Row],[Thursday]],5)),"h:mm AM/PM"),"OFF")</f>
        <v>9:00 pm - 8:00 am</v>
      </c>
      <c r="F46" t="str">
        <f>IFERROR(TEXT(TIMEVALUE(LEFT(Table3[[#This Row],[Friday]],5)),"h:mm AM/PM")&amp;" - "&amp;TEXT(TIMEVALUE(RIGHT(Table3[[#This Row],[Friday]],5)),"h:mm AM/PM"),"OFF")</f>
        <v>OFF</v>
      </c>
      <c r="G46" t="str">
        <f>IFERROR(TEXT(TIMEVALUE(LEFT(Table3[[#This Row],[Saturday]],5)),"h:mm AM/PM")&amp;" - "&amp;TEXT(TIMEVALUE(RIGHT(Table3[[#This Row],[Saturday]],5)),"h:mm AM/PM"),"OFF")</f>
        <v>OFF</v>
      </c>
      <c r="H46" t="str">
        <f>IFERROR(TEXT(TIMEVALUE(LEFT(Table3[[#This Row],[Sunday]],5)),"h:mm AM/PM")&amp;" - "&amp;TEXT(TIMEVALUE(RIGHT(Table3[[#This Row],[Sunday]],5)),"h:mm AM/PM"),"OFF")</f>
        <v>OFF</v>
      </c>
      <c r="I46" t="str">
        <f t="shared" si="1"/>
        <v>Fri - Sat - Sun</v>
      </c>
      <c r="J46" s="37">
        <f>Table3[[#This Row],[Break 1]]</f>
        <v>0.95833333333333326</v>
      </c>
      <c r="K46" s="37">
        <f>Table3[[#This Row],[Break 2]]</f>
        <v>0.17708333333333348</v>
      </c>
      <c r="L46" s="37">
        <f>Table3[[#This Row],[Lunch]]</f>
        <v>5.2083333333333481E-2</v>
      </c>
      <c r="M46" s="37">
        <f>Table3[[#This Row],[Break 3]]</f>
        <v>0.27083333333333348</v>
      </c>
      <c r="N46" t="str">
        <f>Table3[[#This Row],[Supervisor]]</f>
        <v>Anmecha Valencia</v>
      </c>
      <c r="O46" t="str">
        <f>IFERROR(TEXT(TIMEVALUE(LEFT(Table3[[#This Row],[PH SHIFT]],5)),"h:mm AM/PM")&amp;" - "&amp;TEXT(TIMEVALUE(RIGHT(Table3[[#This Row],[PH SHIFT]],5)),"h:mm AM/PM"),"OFF")</f>
        <v>6:30 am - 5:30 pm</v>
      </c>
      <c r="P46">
        <f t="shared" si="0"/>
        <v>0</v>
      </c>
    </row>
    <row r="47" spans="1:16" x14ac:dyDescent="0.25">
      <c r="A47" t="str">
        <f>Table3[[#This Row],[Name]]</f>
        <v>Manueleth Nardo</v>
      </c>
      <c r="B47" t="str">
        <f>IFERROR(TEXT(TIMEVALUE(LEFT(Table3[[#This Row],[Monday]],5)),"h:mm AM/PM")&amp;" - "&amp;TEXT(TIMEVALUE(RIGHT(Table3[[#This Row],[Monday]],5)),"h:mm AM/PM"),"OFF")</f>
        <v>OFF</v>
      </c>
      <c r="C47" t="str">
        <f>IFERROR(TEXT(TIMEVALUE(LEFT(Table3[[#This Row],[Tuesday]],5)),"h:mm AM/PM")&amp;" - "&amp;TEXT(TIMEVALUE(RIGHT(Table3[[#This Row],[Tuesday]],5)),"h:mm AM/PM"),"OFF")</f>
        <v>OFF</v>
      </c>
      <c r="D47" t="str">
        <f>IFERROR(TEXT(TIMEVALUE(LEFT(Table3[[#This Row],[Wednesday]],5)),"h:mm AM/PM")&amp;" - "&amp;TEXT(TIMEVALUE(RIGHT(Table3[[#This Row],[Wednesday]],5)),"h:mm AM/PM"),"OFF")</f>
        <v>OFF</v>
      </c>
      <c r="E47" t="str">
        <f>IFERROR(TEXT(TIMEVALUE(LEFT(Table3[[#This Row],[Thursday]],5)),"h:mm AM/PM")&amp;" - "&amp;TEXT(TIMEVALUE(RIGHT(Table3[[#This Row],[Thursday]],5)),"h:mm AM/PM"),"OFF")</f>
        <v>6:30 am - 5:30 pm</v>
      </c>
      <c r="F47" t="str">
        <f>IFERROR(TEXT(TIMEVALUE(LEFT(Table3[[#This Row],[Friday]],5)),"h:mm AM/PM")&amp;" - "&amp;TEXT(TIMEVALUE(RIGHT(Table3[[#This Row],[Friday]],5)),"h:mm AM/PM"),"OFF")</f>
        <v>6:30 am - 5:30 pm</v>
      </c>
      <c r="G47" t="str">
        <f>IFERROR(TEXT(TIMEVALUE(LEFT(Table3[[#This Row],[Saturday]],5)),"h:mm AM/PM")&amp;" - "&amp;TEXT(TIMEVALUE(RIGHT(Table3[[#This Row],[Saturday]],5)),"h:mm AM/PM"),"OFF")</f>
        <v>6:30 am - 5:30 pm</v>
      </c>
      <c r="H47" t="str">
        <f>IFERROR(TEXT(TIMEVALUE(LEFT(Table3[[#This Row],[Sunday]],5)),"h:mm AM/PM")&amp;" - "&amp;TEXT(TIMEVALUE(RIGHT(Table3[[#This Row],[Sunday]],5)),"h:mm AM/PM"),"OFF")</f>
        <v>6:30 am - 5:30 pm</v>
      </c>
      <c r="I47" t="str">
        <f t="shared" si="1"/>
        <v>Mon - Tue - Wed</v>
      </c>
      <c r="J47" s="37">
        <f>Table3[[#This Row],[Break 1]]</f>
        <v>0.35416666666666652</v>
      </c>
      <c r="K47" s="37">
        <f>Table3[[#This Row],[Break 2]]</f>
        <v>0.57291666666666663</v>
      </c>
      <c r="L47" s="37">
        <f>Table3[[#This Row],[Lunch]]</f>
        <v>0.44791666666666652</v>
      </c>
      <c r="M47" s="37">
        <f>Table3[[#This Row],[Break 3]]</f>
        <v>0.67708333333333337</v>
      </c>
      <c r="N47" t="str">
        <f>Table3[[#This Row],[Supervisor]]</f>
        <v>Christopher Rodas</v>
      </c>
      <c r="O47" t="str">
        <f>IFERROR(TEXT(TIMEVALUE(LEFT(Table3[[#This Row],[PH SHIFT]],5)),"h:mm AM/PM")&amp;" - "&amp;TEXT(TIMEVALUE(RIGHT(Table3[[#This Row],[PH SHIFT]],5)),"h:mm AM/PM"),"OFF")</f>
        <v>9:00 pm - 8:00 am</v>
      </c>
      <c r="P47">
        <f t="shared" si="0"/>
        <v>1</v>
      </c>
    </row>
    <row r="48" spans="1:16" x14ac:dyDescent="0.25">
      <c r="A48" t="str">
        <f>Table3[[#This Row],[Name]]</f>
        <v>Marielle Dakila</v>
      </c>
      <c r="B48" t="str">
        <f>IFERROR(TEXT(TIMEVALUE(LEFT(Table3[[#This Row],[Monday]],5)),"h:mm AM/PM")&amp;" - "&amp;TEXT(TIMEVALUE(RIGHT(Table3[[#This Row],[Monday]],5)),"h:mm AM/PM"),"OFF")</f>
        <v>9:00 pm - 8:00 am</v>
      </c>
      <c r="C48" t="str">
        <f>IFERROR(TEXT(TIMEVALUE(LEFT(Table3[[#This Row],[Tuesday]],5)),"h:mm AM/PM")&amp;" - "&amp;TEXT(TIMEVALUE(RIGHT(Table3[[#This Row],[Tuesday]],5)),"h:mm AM/PM"),"OFF")</f>
        <v>9:00 pm - 8:00 am</v>
      </c>
      <c r="D48" t="str">
        <f>IFERROR(TEXT(TIMEVALUE(LEFT(Table3[[#This Row],[Wednesday]],5)),"h:mm AM/PM")&amp;" - "&amp;TEXT(TIMEVALUE(RIGHT(Table3[[#This Row],[Wednesday]],5)),"h:mm AM/PM"),"OFF")</f>
        <v>OFF</v>
      </c>
      <c r="E48" t="str">
        <f>IFERROR(TEXT(TIMEVALUE(LEFT(Table3[[#This Row],[Thursday]],5)),"h:mm AM/PM")&amp;" - "&amp;TEXT(TIMEVALUE(RIGHT(Table3[[#This Row],[Thursday]],5)),"h:mm AM/PM"),"OFF")</f>
        <v>9:00 pm - 8:00 am</v>
      </c>
      <c r="F48" t="str">
        <f>IFERROR(TEXT(TIMEVALUE(LEFT(Table3[[#This Row],[Friday]],5)),"h:mm AM/PM")&amp;" - "&amp;TEXT(TIMEVALUE(RIGHT(Table3[[#This Row],[Friday]],5)),"h:mm AM/PM"),"OFF")</f>
        <v>9:00 pm - 8:00 am</v>
      </c>
      <c r="G48" t="str">
        <f>IFERROR(TEXT(TIMEVALUE(LEFT(Table3[[#This Row],[Saturday]],5)),"h:mm AM/PM")&amp;" - "&amp;TEXT(TIMEVALUE(RIGHT(Table3[[#This Row],[Saturday]],5)),"h:mm AM/PM"),"OFF")</f>
        <v>OFF</v>
      </c>
      <c r="H48" t="str">
        <f>IFERROR(TEXT(TIMEVALUE(LEFT(Table3[[#This Row],[Sunday]],5)),"h:mm AM/PM")&amp;" - "&amp;TEXT(TIMEVALUE(RIGHT(Table3[[#This Row],[Sunday]],5)),"h:mm AM/PM"),"OFF")</f>
        <v>OFF</v>
      </c>
      <c r="I48" t="str">
        <f t="shared" si="1"/>
        <v>Wed - Sat - Sun</v>
      </c>
      <c r="J48" s="37">
        <f>Table3[[#This Row],[Break 1]]</f>
        <v>0.97916666666666674</v>
      </c>
      <c r="K48" s="37">
        <f>Table3[[#This Row],[Break 2]]</f>
        <v>0.17708333333333348</v>
      </c>
      <c r="L48" s="37">
        <f>Table3[[#This Row],[Lunch]]</f>
        <v>7.2916666666666519E-2</v>
      </c>
      <c r="M48" s="37">
        <f>Table3[[#This Row],[Break 3]]</f>
        <v>0.28125</v>
      </c>
      <c r="N48" t="str">
        <f>Table3[[#This Row],[Supervisor]]</f>
        <v>Remmo Panaligan</v>
      </c>
      <c r="O48" t="str">
        <f>IFERROR(TEXT(TIMEVALUE(LEFT(Table3[[#This Row],[PH SHIFT]],5)),"h:mm AM/PM")&amp;" - "&amp;TEXT(TIMEVALUE(RIGHT(Table3[[#This Row],[PH SHIFT]],5)),"h:mm AM/PM"),"OFF")</f>
        <v>9:00 pm - 8:00 am</v>
      </c>
      <c r="P48">
        <f t="shared" si="0"/>
        <v>1</v>
      </c>
    </row>
    <row r="49" spans="1:16" x14ac:dyDescent="0.25">
      <c r="A49" t="str">
        <f>Table3[[#This Row],[Name]]</f>
        <v>Marjon Gaebrielle Albay</v>
      </c>
      <c r="B49" t="str">
        <f>IFERROR(TEXT(TIMEVALUE(LEFT(Table3[[#This Row],[Monday]],5)),"h:mm AM/PM")&amp;" - "&amp;TEXT(TIMEVALUE(RIGHT(Table3[[#This Row],[Monday]],5)),"h:mm AM/PM"),"OFF")</f>
        <v>OFF</v>
      </c>
      <c r="C49" t="str">
        <f>IFERROR(TEXT(TIMEVALUE(LEFT(Table3[[#This Row],[Tuesday]],5)),"h:mm AM/PM")&amp;" - "&amp;TEXT(TIMEVALUE(RIGHT(Table3[[#This Row],[Tuesday]],5)),"h:mm AM/PM"),"OFF")</f>
        <v>9:00 pm - 8:00 am</v>
      </c>
      <c r="D49" t="str">
        <f>IFERROR(TEXT(TIMEVALUE(LEFT(Table3[[#This Row],[Wednesday]],5)),"h:mm AM/PM")&amp;" - "&amp;TEXT(TIMEVALUE(RIGHT(Table3[[#This Row],[Wednesday]],5)),"h:mm AM/PM"),"OFF")</f>
        <v>9:00 pm - 8:00 am</v>
      </c>
      <c r="E49" t="str">
        <f>IFERROR(TEXT(TIMEVALUE(LEFT(Table3[[#This Row],[Thursday]],5)),"h:mm AM/PM")&amp;" - "&amp;TEXT(TIMEVALUE(RIGHT(Table3[[#This Row],[Thursday]],5)),"h:mm AM/PM"),"OFF")</f>
        <v>9:00 pm - 8:00 am</v>
      </c>
      <c r="F49" t="str">
        <f>IFERROR(TEXT(TIMEVALUE(LEFT(Table3[[#This Row],[Friday]],5)),"h:mm AM/PM")&amp;" - "&amp;TEXT(TIMEVALUE(RIGHT(Table3[[#This Row],[Friday]],5)),"h:mm AM/PM"),"OFF")</f>
        <v>9:00 pm - 8:00 am</v>
      </c>
      <c r="G49" t="str">
        <f>IFERROR(TEXT(TIMEVALUE(LEFT(Table3[[#This Row],[Saturday]],5)),"h:mm AM/PM")&amp;" - "&amp;TEXT(TIMEVALUE(RIGHT(Table3[[#This Row],[Saturday]],5)),"h:mm AM/PM"),"OFF")</f>
        <v>OFF</v>
      </c>
      <c r="H49" t="str">
        <f>IFERROR(TEXT(TIMEVALUE(LEFT(Table3[[#This Row],[Sunday]],5)),"h:mm AM/PM")&amp;" - "&amp;TEXT(TIMEVALUE(RIGHT(Table3[[#This Row],[Sunday]],5)),"h:mm AM/PM"),"OFF")</f>
        <v>OFF</v>
      </c>
      <c r="I49" t="str">
        <f t="shared" si="1"/>
        <v>Mon - Sat - Sun</v>
      </c>
      <c r="J49" s="37">
        <f>Table3[[#This Row],[Break 1]]</f>
        <v>0.96875</v>
      </c>
      <c r="K49" s="37">
        <f>Table3[[#This Row],[Break 2]]</f>
        <v>6.25E-2</v>
      </c>
      <c r="L49" s="37">
        <f>Table3[[#This Row],[Lunch]]</f>
        <v>0.125</v>
      </c>
      <c r="M49" s="37">
        <f>Table3[[#This Row],[Break 3]]</f>
        <v>0.28125</v>
      </c>
      <c r="N49" t="str">
        <f>Table3[[#This Row],[Supervisor]]</f>
        <v>Michael Dominguez</v>
      </c>
      <c r="O49" t="str">
        <f>IFERROR(TEXT(TIMEVALUE(LEFT(Table3[[#This Row],[PH SHIFT]],5)),"h:mm AM/PM")&amp;" - "&amp;TEXT(TIMEVALUE(RIGHT(Table3[[#This Row],[PH SHIFT]],5)),"h:mm AM/PM"),"OFF")</f>
        <v>5:00 pm - 4:00 am</v>
      </c>
      <c r="P49">
        <f t="shared" si="0"/>
        <v>1</v>
      </c>
    </row>
    <row r="50" spans="1:16" x14ac:dyDescent="0.25">
      <c r="A50" t="str">
        <f>Table3[[#This Row],[Name]]</f>
        <v>Mark Raymond Mangaser Jr</v>
      </c>
      <c r="B50" t="str">
        <f>IFERROR(TEXT(TIMEVALUE(LEFT(Table3[[#This Row],[Monday]],5)),"h:mm AM/PM")&amp;" - "&amp;TEXT(TIMEVALUE(RIGHT(Table3[[#This Row],[Monday]],5)),"h:mm AM/PM"),"OFF")</f>
        <v>5:00 pm - 4:00 am</v>
      </c>
      <c r="C50" t="str">
        <f>IFERROR(TEXT(TIMEVALUE(LEFT(Table3[[#This Row],[Tuesday]],5)),"h:mm AM/PM")&amp;" - "&amp;TEXT(TIMEVALUE(RIGHT(Table3[[#This Row],[Tuesday]],5)),"h:mm AM/PM"),"OFF")</f>
        <v>5:00 pm - 4:00 am</v>
      </c>
      <c r="D50" t="str">
        <f>IFERROR(TEXT(TIMEVALUE(LEFT(Table3[[#This Row],[Wednesday]],5)),"h:mm AM/PM")&amp;" - "&amp;TEXT(TIMEVALUE(RIGHT(Table3[[#This Row],[Wednesday]],5)),"h:mm AM/PM"),"OFF")</f>
        <v>OFF</v>
      </c>
      <c r="E50" t="str">
        <f>IFERROR(TEXT(TIMEVALUE(LEFT(Table3[[#This Row],[Thursday]],5)),"h:mm AM/PM")&amp;" - "&amp;TEXT(TIMEVALUE(RIGHT(Table3[[#This Row],[Thursday]],5)),"h:mm AM/PM"),"OFF")</f>
        <v>OFF</v>
      </c>
      <c r="F50" t="str">
        <f>IFERROR(TEXT(TIMEVALUE(LEFT(Table3[[#This Row],[Friday]],5)),"h:mm AM/PM")&amp;" - "&amp;TEXT(TIMEVALUE(RIGHT(Table3[[#This Row],[Friday]],5)),"h:mm AM/PM"),"OFF")</f>
        <v>OFF</v>
      </c>
      <c r="G50" t="str">
        <f>IFERROR(TEXT(TIMEVALUE(LEFT(Table3[[#This Row],[Saturday]],5)),"h:mm AM/PM")&amp;" - "&amp;TEXT(TIMEVALUE(RIGHT(Table3[[#This Row],[Saturday]],5)),"h:mm AM/PM"),"OFF")</f>
        <v>5:00 pm - 4:00 am</v>
      </c>
      <c r="H50" t="str">
        <f>IFERROR(TEXT(TIMEVALUE(LEFT(Table3[[#This Row],[Sunday]],5)),"h:mm AM/PM")&amp;" - "&amp;TEXT(TIMEVALUE(RIGHT(Table3[[#This Row],[Sunday]],5)),"h:mm AM/PM"),"OFF")</f>
        <v>5:00 pm - 4:00 am</v>
      </c>
      <c r="I50" t="str">
        <f t="shared" si="1"/>
        <v>Wed - Thu - Fri</v>
      </c>
      <c r="J50" s="37">
        <f>Table3[[#This Row],[Break 1]]</f>
        <v>0.96875</v>
      </c>
      <c r="K50" s="37">
        <f>Table3[[#This Row],[Break 2]]</f>
        <v>6.25E-2</v>
      </c>
      <c r="L50" s="37">
        <f>Table3[[#This Row],[Lunch]]</f>
        <v>0.125</v>
      </c>
      <c r="M50" s="37">
        <f>Table3[[#This Row],[Break 3]]</f>
        <v>0.27083333333333348</v>
      </c>
      <c r="N50" t="str">
        <f>Table3[[#This Row],[Supervisor]]</f>
        <v>Christopher Rodas</v>
      </c>
      <c r="O50" t="str">
        <f>IFERROR(TEXT(TIMEVALUE(LEFT(Table3[[#This Row],[PH SHIFT]],5)),"h:mm AM/PM")&amp;" - "&amp;TEXT(TIMEVALUE(RIGHT(Table3[[#This Row],[PH SHIFT]],5)),"h:mm AM/PM"),"OFF")</f>
        <v>9:00 pm - 8:00 am</v>
      </c>
      <c r="P50">
        <f t="shared" si="0"/>
        <v>1</v>
      </c>
    </row>
    <row r="51" spans="1:16" x14ac:dyDescent="0.25">
      <c r="A51" t="str">
        <f>Table3[[#This Row],[Name]]</f>
        <v>Mary Angelie Fajardo</v>
      </c>
      <c r="B51" t="str">
        <f>IFERROR(TEXT(TIMEVALUE(LEFT(Table3[[#This Row],[Monday]],5)),"h:mm AM/PM")&amp;" - "&amp;TEXT(TIMEVALUE(RIGHT(Table3[[#This Row],[Monday]],5)),"h:mm AM/PM"),"OFF")</f>
        <v>8:00 am - 7:00 pm</v>
      </c>
      <c r="C51" t="str">
        <f>IFERROR(TEXT(TIMEVALUE(LEFT(Table3[[#This Row],[Tuesday]],5)),"h:mm AM/PM")&amp;" - "&amp;TEXT(TIMEVALUE(RIGHT(Table3[[#This Row],[Tuesday]],5)),"h:mm AM/PM"),"OFF")</f>
        <v>OFF</v>
      </c>
      <c r="D51" t="str">
        <f>IFERROR(TEXT(TIMEVALUE(LEFT(Table3[[#This Row],[Wednesday]],5)),"h:mm AM/PM")&amp;" - "&amp;TEXT(TIMEVALUE(RIGHT(Table3[[#This Row],[Wednesday]],5)),"h:mm AM/PM"),"OFF")</f>
        <v>OFF</v>
      </c>
      <c r="E51" t="str">
        <f>IFERROR(TEXT(TIMEVALUE(LEFT(Table3[[#This Row],[Thursday]],5)),"h:mm AM/PM")&amp;" - "&amp;TEXT(TIMEVALUE(RIGHT(Table3[[#This Row],[Thursday]],5)),"h:mm AM/PM"),"OFF")</f>
        <v>OFF</v>
      </c>
      <c r="F51" t="str">
        <f>IFERROR(TEXT(TIMEVALUE(LEFT(Table3[[#This Row],[Friday]],5)),"h:mm AM/PM")&amp;" - "&amp;TEXT(TIMEVALUE(RIGHT(Table3[[#This Row],[Friday]],5)),"h:mm AM/PM"),"OFF")</f>
        <v>8:00 am - 7:00 pm</v>
      </c>
      <c r="G51" t="str">
        <f>IFERROR(TEXT(TIMEVALUE(LEFT(Table3[[#This Row],[Saturday]],5)),"h:mm AM/PM")&amp;" - "&amp;TEXT(TIMEVALUE(RIGHT(Table3[[#This Row],[Saturday]],5)),"h:mm AM/PM"),"OFF")</f>
        <v>8:00 am - 7:00 pm</v>
      </c>
      <c r="H51" t="str">
        <f>IFERROR(TEXT(TIMEVALUE(LEFT(Table3[[#This Row],[Sunday]],5)),"h:mm AM/PM")&amp;" - "&amp;TEXT(TIMEVALUE(RIGHT(Table3[[#This Row],[Sunday]],5)),"h:mm AM/PM"),"OFF")</f>
        <v>8:00 am - 7:00 pm</v>
      </c>
      <c r="I51" t="str">
        <f t="shared" si="1"/>
        <v>Tue - Wed - Thu</v>
      </c>
      <c r="J51" s="37">
        <f>Table3[[#This Row],[Break 1]]</f>
        <v>0.41666666666666652</v>
      </c>
      <c r="K51" s="37">
        <f>Table3[[#This Row],[Break 2]]</f>
        <v>0.52083333333333337</v>
      </c>
      <c r="L51" s="37">
        <f>Table3[[#This Row],[Lunch]]</f>
        <v>0.60416666666666663</v>
      </c>
      <c r="M51" s="37">
        <f>Table3[[#This Row],[Break 3]]</f>
        <v>0.75</v>
      </c>
      <c r="N51" t="str">
        <f>Table3[[#This Row],[Supervisor]]</f>
        <v>Christopher Rodas</v>
      </c>
      <c r="O51" t="str">
        <f>IFERROR(TEXT(TIMEVALUE(LEFT(Table3[[#This Row],[PH SHIFT]],5)),"h:mm AM/PM")&amp;" - "&amp;TEXT(TIMEVALUE(RIGHT(Table3[[#This Row],[PH SHIFT]],5)),"h:mm AM/PM"),"OFF")</f>
        <v>10:00 am - 9:00 pm</v>
      </c>
      <c r="P51">
        <f t="shared" si="0"/>
        <v>0</v>
      </c>
    </row>
    <row r="52" spans="1:16" x14ac:dyDescent="0.25">
      <c r="A52" t="str">
        <f>Table3[[#This Row],[Name]]</f>
        <v>Mary Joy Delos Santos</v>
      </c>
      <c r="B52" t="str">
        <f>IFERROR(TEXT(TIMEVALUE(LEFT(Table3[[#This Row],[Monday]],5)),"h:mm AM/PM")&amp;" - "&amp;TEXT(TIMEVALUE(RIGHT(Table3[[#This Row],[Monday]],5)),"h:mm AM/PM"),"OFF")</f>
        <v>OFF</v>
      </c>
      <c r="C52" t="str">
        <f>IFERROR(TEXT(TIMEVALUE(LEFT(Table3[[#This Row],[Tuesday]],5)),"h:mm AM/PM")&amp;" - "&amp;TEXT(TIMEVALUE(RIGHT(Table3[[#This Row],[Tuesday]],5)),"h:mm AM/PM"),"OFF")</f>
        <v>10:00 am - 9:00 pm</v>
      </c>
      <c r="D52" t="str">
        <f>IFERROR(TEXT(TIMEVALUE(LEFT(Table3[[#This Row],[Wednesday]],5)),"h:mm AM/PM")&amp;" - "&amp;TEXT(TIMEVALUE(RIGHT(Table3[[#This Row],[Wednesday]],5)),"h:mm AM/PM"),"OFF")</f>
        <v>10:00 am - 9:00 pm</v>
      </c>
      <c r="E52" t="str">
        <f>IFERROR(TEXT(TIMEVALUE(LEFT(Table3[[#This Row],[Thursday]],5)),"h:mm AM/PM")&amp;" - "&amp;TEXT(TIMEVALUE(RIGHT(Table3[[#This Row],[Thursday]],5)),"h:mm AM/PM"),"OFF")</f>
        <v>10:00 am - 9:00 pm</v>
      </c>
      <c r="F52" t="str">
        <f>IFERROR(TEXT(TIMEVALUE(LEFT(Table3[[#This Row],[Friday]],5)),"h:mm AM/PM")&amp;" - "&amp;TEXT(TIMEVALUE(RIGHT(Table3[[#This Row],[Friday]],5)),"h:mm AM/PM"),"OFF")</f>
        <v>10:00 am - 9:00 pm</v>
      </c>
      <c r="G52" t="str">
        <f>IFERROR(TEXT(TIMEVALUE(LEFT(Table3[[#This Row],[Saturday]],5)),"h:mm AM/PM")&amp;" - "&amp;TEXT(TIMEVALUE(RIGHT(Table3[[#This Row],[Saturday]],5)),"h:mm AM/PM"),"OFF")</f>
        <v>OFF</v>
      </c>
      <c r="H52" t="str">
        <f>IFERROR(TEXT(TIMEVALUE(LEFT(Table3[[#This Row],[Sunday]],5)),"h:mm AM/PM")&amp;" - "&amp;TEXT(TIMEVALUE(RIGHT(Table3[[#This Row],[Sunday]],5)),"h:mm AM/PM"),"OFF")</f>
        <v>OFF</v>
      </c>
      <c r="I52" t="str">
        <f t="shared" si="1"/>
        <v>Mon - Sat - Sun</v>
      </c>
      <c r="J52" s="37">
        <f>Table3[[#This Row],[Break 1]]</f>
        <v>0.5</v>
      </c>
      <c r="K52" s="37">
        <f>Table3[[#This Row],[Break 2]]</f>
        <v>0.69791666666666663</v>
      </c>
      <c r="L52" s="37">
        <f>Table3[[#This Row],[Lunch]]</f>
        <v>0.59375</v>
      </c>
      <c r="M52" s="37">
        <f>Table3[[#This Row],[Break 3]]</f>
        <v>0.80208333333333326</v>
      </c>
      <c r="N52" t="str">
        <f>Table3[[#This Row],[Supervisor]]</f>
        <v>Manilyn Abellar</v>
      </c>
      <c r="O52" t="str">
        <f>IFERROR(TEXT(TIMEVALUE(LEFT(Table3[[#This Row],[PH SHIFT]],5)),"h:mm AM/PM")&amp;" - "&amp;TEXT(TIMEVALUE(RIGHT(Table3[[#This Row],[PH SHIFT]],5)),"h:mm AM/PM"),"OFF")</f>
        <v>10:00 pm - 9:00 am</v>
      </c>
      <c r="P52">
        <f t="shared" si="0"/>
        <v>1</v>
      </c>
    </row>
    <row r="53" spans="1:16" x14ac:dyDescent="0.25">
      <c r="A53" t="str">
        <f>Table3[[#This Row],[Name]]</f>
        <v>Mhar Anthony Juezan</v>
      </c>
      <c r="B53" t="str">
        <f>IFERROR(TEXT(TIMEVALUE(LEFT(Table3[[#This Row],[Monday]],5)),"h:mm AM/PM")&amp;" - "&amp;TEXT(TIMEVALUE(RIGHT(Table3[[#This Row],[Monday]],5)),"h:mm AM/PM"),"OFF")</f>
        <v>OFF</v>
      </c>
      <c r="C53" t="str">
        <f>IFERROR(TEXT(TIMEVALUE(LEFT(Table3[[#This Row],[Tuesday]],5)),"h:mm AM/PM")&amp;" - "&amp;TEXT(TIMEVALUE(RIGHT(Table3[[#This Row],[Tuesday]],5)),"h:mm AM/PM"),"OFF")</f>
        <v>OFF</v>
      </c>
      <c r="D53" t="str">
        <f>IFERROR(TEXT(TIMEVALUE(LEFT(Table3[[#This Row],[Wednesday]],5)),"h:mm AM/PM")&amp;" - "&amp;TEXT(TIMEVALUE(RIGHT(Table3[[#This Row],[Wednesday]],5)),"h:mm AM/PM"),"OFF")</f>
        <v>OFF</v>
      </c>
      <c r="E53" t="str">
        <f>IFERROR(TEXT(TIMEVALUE(LEFT(Table3[[#This Row],[Thursday]],5)),"h:mm AM/PM")&amp;" - "&amp;TEXT(TIMEVALUE(RIGHT(Table3[[#This Row],[Thursday]],5)),"h:mm AM/PM"),"OFF")</f>
        <v>10:00 pm - 9:00 am</v>
      </c>
      <c r="F53" t="str">
        <f>IFERROR(TEXT(TIMEVALUE(LEFT(Table3[[#This Row],[Friday]],5)),"h:mm AM/PM")&amp;" - "&amp;TEXT(TIMEVALUE(RIGHT(Table3[[#This Row],[Friday]],5)),"h:mm AM/PM"),"OFF")</f>
        <v>10:00 pm - 9:00 am</v>
      </c>
      <c r="G53" t="str">
        <f>IFERROR(TEXT(TIMEVALUE(LEFT(Table3[[#This Row],[Saturday]],5)),"h:mm AM/PM")&amp;" - "&amp;TEXT(TIMEVALUE(RIGHT(Table3[[#This Row],[Saturday]],5)),"h:mm AM/PM"),"OFF")</f>
        <v>10:00 pm - 9:00 am</v>
      </c>
      <c r="H53" t="str">
        <f>IFERROR(TEXT(TIMEVALUE(LEFT(Table3[[#This Row],[Sunday]],5)),"h:mm AM/PM")&amp;" - "&amp;TEXT(TIMEVALUE(RIGHT(Table3[[#This Row],[Sunday]],5)),"h:mm AM/PM"),"OFF")</f>
        <v>10:00 pm - 9:00 am</v>
      </c>
      <c r="I53" t="str">
        <f t="shared" si="1"/>
        <v>Mon - Tue - Wed</v>
      </c>
      <c r="J53" s="37">
        <f>Table3[[#This Row],[Break 1]]</f>
        <v>0</v>
      </c>
      <c r="K53" s="37">
        <f>Table3[[#This Row],[Break 2]]</f>
        <v>0.22916666666666652</v>
      </c>
      <c r="L53" s="37">
        <f>Table3[[#This Row],[Lunch]]</f>
        <v>0.10416666666666652</v>
      </c>
      <c r="M53" s="37">
        <f>Table3[[#This Row],[Break 3]]</f>
        <v>0.32291666666666652</v>
      </c>
      <c r="N53" t="str">
        <f>Table3[[#This Row],[Supervisor]]</f>
        <v>Christopher Rodas</v>
      </c>
      <c r="O53" t="str">
        <f>IFERROR(TEXT(TIMEVALUE(LEFT(Table3[[#This Row],[PH SHIFT]],5)),"h:mm AM/PM")&amp;" - "&amp;TEXT(TIMEVALUE(RIGHT(Table3[[#This Row],[PH SHIFT]],5)),"h:mm AM/PM"),"OFF")</f>
        <v>9:00 pm - 8:00 am</v>
      </c>
      <c r="P53">
        <f t="shared" si="0"/>
        <v>1</v>
      </c>
    </row>
    <row r="54" spans="1:16" x14ac:dyDescent="0.25">
      <c r="A54" t="str">
        <f>Table3[[#This Row],[Name]]</f>
        <v>Michelle Corbeta</v>
      </c>
      <c r="B54" t="str">
        <f>IFERROR(TEXT(TIMEVALUE(LEFT(Table3[[#This Row],[Monday]],5)),"h:mm AM/PM")&amp;" - "&amp;TEXT(TIMEVALUE(RIGHT(Table3[[#This Row],[Monday]],5)),"h:mm AM/PM"),"OFF")</f>
        <v>9:00 pm - 8:00 am</v>
      </c>
      <c r="C54" t="str">
        <f>IFERROR(TEXT(TIMEVALUE(LEFT(Table3[[#This Row],[Tuesday]],5)),"h:mm AM/PM")&amp;" - "&amp;TEXT(TIMEVALUE(RIGHT(Table3[[#This Row],[Tuesday]],5)),"h:mm AM/PM"),"OFF")</f>
        <v>OFF</v>
      </c>
      <c r="D54" t="str">
        <f>IFERROR(TEXT(TIMEVALUE(LEFT(Table3[[#This Row],[Wednesday]],5)),"h:mm AM/PM")&amp;" - "&amp;TEXT(TIMEVALUE(RIGHT(Table3[[#This Row],[Wednesday]],5)),"h:mm AM/PM"),"OFF")</f>
        <v>OFF</v>
      </c>
      <c r="E54" t="str">
        <f>IFERROR(TEXT(TIMEVALUE(LEFT(Table3[[#This Row],[Thursday]],5)),"h:mm AM/PM")&amp;" - "&amp;TEXT(TIMEVALUE(RIGHT(Table3[[#This Row],[Thursday]],5)),"h:mm AM/PM"),"OFF")</f>
        <v>OFF</v>
      </c>
      <c r="F54" t="str">
        <f>IFERROR(TEXT(TIMEVALUE(LEFT(Table3[[#This Row],[Friday]],5)),"h:mm AM/PM")&amp;" - "&amp;TEXT(TIMEVALUE(RIGHT(Table3[[#This Row],[Friday]],5)),"h:mm AM/PM"),"OFF")</f>
        <v>9:00 pm - 8:00 am</v>
      </c>
      <c r="G54" t="str">
        <f>IFERROR(TEXT(TIMEVALUE(LEFT(Table3[[#This Row],[Saturday]],5)),"h:mm AM/PM")&amp;" - "&amp;TEXT(TIMEVALUE(RIGHT(Table3[[#This Row],[Saturday]],5)),"h:mm AM/PM"),"OFF")</f>
        <v>9:00 pm - 8:00 am</v>
      </c>
      <c r="H54" t="str">
        <f>IFERROR(TEXT(TIMEVALUE(LEFT(Table3[[#This Row],[Sunday]],5)),"h:mm AM/PM")&amp;" - "&amp;TEXT(TIMEVALUE(RIGHT(Table3[[#This Row],[Sunday]],5)),"h:mm AM/PM"),"OFF")</f>
        <v>9:00 pm - 8:00 am</v>
      </c>
      <c r="I54" t="str">
        <f t="shared" si="1"/>
        <v>Tue - Wed - Thu</v>
      </c>
      <c r="J54" s="37">
        <f>Table3[[#This Row],[Break 1]]</f>
        <v>0.9375</v>
      </c>
      <c r="K54" s="37">
        <f>Table3[[#This Row],[Break 2]]</f>
        <v>0.14583333333333348</v>
      </c>
      <c r="L54" s="37">
        <f>Table3[[#This Row],[Lunch]]</f>
        <v>2.0833333333333481E-2</v>
      </c>
      <c r="M54" s="37">
        <f>Table3[[#This Row],[Break 3]]</f>
        <v>0.25</v>
      </c>
      <c r="N54" t="str">
        <f>Table3[[#This Row],[Supervisor]]</f>
        <v>Manilyn Abellar</v>
      </c>
      <c r="O54" t="str">
        <f>IFERROR(TEXT(TIMEVALUE(LEFT(Table3[[#This Row],[PH SHIFT]],5)),"h:mm AM/PM")&amp;" - "&amp;TEXT(TIMEVALUE(RIGHT(Table3[[#This Row],[PH SHIFT]],5)),"h:mm AM/PM"),"OFF")</f>
        <v>11:00 pm - 10:00 am</v>
      </c>
      <c r="P54">
        <f t="shared" si="0"/>
        <v>1</v>
      </c>
    </row>
    <row r="55" spans="1:16" x14ac:dyDescent="0.25">
      <c r="A55" t="str">
        <f>Table3[[#This Row],[Name]]</f>
        <v>Pat Marlou Tanola</v>
      </c>
      <c r="B55" t="str">
        <f>IFERROR(TEXT(TIMEVALUE(LEFT(Table3[[#This Row],[Monday]],5)),"h:mm AM/PM")&amp;" - "&amp;TEXT(TIMEVALUE(RIGHT(Table3[[#This Row],[Monday]],5)),"h:mm AM/PM"),"OFF")</f>
        <v>OFF</v>
      </c>
      <c r="C55" t="str">
        <f>IFERROR(TEXT(TIMEVALUE(LEFT(Table3[[#This Row],[Tuesday]],5)),"h:mm AM/PM")&amp;" - "&amp;TEXT(TIMEVALUE(RIGHT(Table3[[#This Row],[Tuesday]],5)),"h:mm AM/PM"),"OFF")</f>
        <v>7:00 pm - 6:00 am</v>
      </c>
      <c r="D55" t="str">
        <f>IFERROR(TEXT(TIMEVALUE(LEFT(Table3[[#This Row],[Wednesday]],5)),"h:mm AM/PM")&amp;" - "&amp;TEXT(TIMEVALUE(RIGHT(Table3[[#This Row],[Wednesday]],5)),"h:mm AM/PM"),"OFF")</f>
        <v>7:00 pm - 6:00 am</v>
      </c>
      <c r="E55" t="str">
        <f>IFERROR(TEXT(TIMEVALUE(LEFT(Table3[[#This Row],[Thursday]],5)),"h:mm AM/PM")&amp;" - "&amp;TEXT(TIMEVALUE(RIGHT(Table3[[#This Row],[Thursday]],5)),"h:mm AM/PM"),"OFF")</f>
        <v>7:00 pm - 6:00 am</v>
      </c>
      <c r="F55" t="str">
        <f>IFERROR(TEXT(TIMEVALUE(LEFT(Table3[[#This Row],[Friday]],5)),"h:mm AM/PM")&amp;" - "&amp;TEXT(TIMEVALUE(RIGHT(Table3[[#This Row],[Friday]],5)),"h:mm AM/PM"),"OFF")</f>
        <v>7:00 pm - 6:00 am</v>
      </c>
      <c r="G55" t="str">
        <f>IFERROR(TEXT(TIMEVALUE(LEFT(Table3[[#This Row],[Saturday]],5)),"h:mm AM/PM")&amp;" - "&amp;TEXT(TIMEVALUE(RIGHT(Table3[[#This Row],[Saturday]],5)),"h:mm AM/PM"),"OFF")</f>
        <v>OFF</v>
      </c>
      <c r="H55" t="str">
        <f>IFERROR(TEXT(TIMEVALUE(LEFT(Table3[[#This Row],[Sunday]],5)),"h:mm AM/PM")&amp;" - "&amp;TEXT(TIMEVALUE(RIGHT(Table3[[#This Row],[Sunday]],5)),"h:mm AM/PM"),"OFF")</f>
        <v>OFF</v>
      </c>
      <c r="I55" t="str">
        <f t="shared" si="1"/>
        <v>Mon - Sat - Sun</v>
      </c>
      <c r="J55" s="37">
        <f>Table3[[#This Row],[Break 1]]</f>
        <v>0.875</v>
      </c>
      <c r="K55" s="37">
        <f>Table3[[#This Row],[Break 2]]</f>
        <v>8.3333333333333481E-2</v>
      </c>
      <c r="L55" s="37">
        <f>Table3[[#This Row],[Lunch]]</f>
        <v>0.95833333333333326</v>
      </c>
      <c r="M55" s="37">
        <f>Table3[[#This Row],[Break 3]]</f>
        <v>0.16666666666666652</v>
      </c>
      <c r="N55" t="str">
        <f>Table3[[#This Row],[Supervisor]]</f>
        <v>Christopher Rodas</v>
      </c>
      <c r="O55" t="str">
        <f>IFERROR(TEXT(TIMEVALUE(LEFT(Table3[[#This Row],[PH SHIFT]],5)),"h:mm AM/PM")&amp;" - "&amp;TEXT(TIMEVALUE(RIGHT(Table3[[#This Row],[PH SHIFT]],5)),"h:mm AM/PM"),"OFF")</f>
        <v>5:00 am - 4:00 pm</v>
      </c>
      <c r="P55">
        <f t="shared" si="0"/>
        <v>0</v>
      </c>
    </row>
    <row r="56" spans="1:16" x14ac:dyDescent="0.25">
      <c r="A56" t="str">
        <f>Table3[[#This Row],[Name]]</f>
        <v>Patricia Gilan Villas</v>
      </c>
      <c r="B56" t="str">
        <f>IFERROR(TEXT(TIMEVALUE(LEFT(Table3[[#This Row],[Monday]],5)),"h:mm AM/PM")&amp;" - "&amp;TEXT(TIMEVALUE(RIGHT(Table3[[#This Row],[Monday]],5)),"h:mm AM/PM"),"OFF")</f>
        <v>9:00 pm - 8:00 am</v>
      </c>
      <c r="C56" t="str">
        <f>IFERROR(TEXT(TIMEVALUE(LEFT(Table3[[#This Row],[Tuesday]],5)),"h:mm AM/PM")&amp;" - "&amp;TEXT(TIMEVALUE(RIGHT(Table3[[#This Row],[Tuesday]],5)),"h:mm AM/PM"),"OFF")</f>
        <v>OFF</v>
      </c>
      <c r="D56" t="str">
        <f>IFERROR(TEXT(TIMEVALUE(LEFT(Table3[[#This Row],[Wednesday]],5)),"h:mm AM/PM")&amp;" - "&amp;TEXT(TIMEVALUE(RIGHT(Table3[[#This Row],[Wednesday]],5)),"h:mm AM/PM"),"OFF")</f>
        <v>OFF</v>
      </c>
      <c r="E56" t="str">
        <f>IFERROR(TEXT(TIMEVALUE(LEFT(Table3[[#This Row],[Thursday]],5)),"h:mm AM/PM")&amp;" - "&amp;TEXT(TIMEVALUE(RIGHT(Table3[[#This Row],[Thursday]],5)),"h:mm AM/PM"),"OFF")</f>
        <v>OFF</v>
      </c>
      <c r="F56" t="str">
        <f>IFERROR(TEXT(TIMEVALUE(LEFT(Table3[[#This Row],[Friday]],5)),"h:mm AM/PM")&amp;" - "&amp;TEXT(TIMEVALUE(RIGHT(Table3[[#This Row],[Friday]],5)),"h:mm AM/PM"),"OFF")</f>
        <v>9:00 pm - 8:00 am</v>
      </c>
      <c r="G56" t="str">
        <f>IFERROR(TEXT(TIMEVALUE(LEFT(Table3[[#This Row],[Saturday]],5)),"h:mm AM/PM")&amp;" - "&amp;TEXT(TIMEVALUE(RIGHT(Table3[[#This Row],[Saturday]],5)),"h:mm AM/PM"),"OFF")</f>
        <v>9:00 pm - 8:00 am</v>
      </c>
      <c r="H56" t="str">
        <f>IFERROR(TEXT(TIMEVALUE(LEFT(Table3[[#This Row],[Sunday]],5)),"h:mm AM/PM")&amp;" - "&amp;TEXT(TIMEVALUE(RIGHT(Table3[[#This Row],[Sunday]],5)),"h:mm AM/PM"),"OFF")</f>
        <v>9:00 pm - 8:00 am</v>
      </c>
      <c r="I56" t="str">
        <f t="shared" si="1"/>
        <v>Tue - Wed - Thu</v>
      </c>
      <c r="J56" s="37">
        <f>Table3[[#This Row],[Break 1]]</f>
        <v>0.94791666666666674</v>
      </c>
      <c r="K56" s="37">
        <f>Table3[[#This Row],[Break 2]]</f>
        <v>0.15625</v>
      </c>
      <c r="L56" s="37">
        <f>Table3[[#This Row],[Lunch]]</f>
        <v>2.0833333333333481E-2</v>
      </c>
      <c r="M56" s="37">
        <f>Table3[[#This Row],[Break 3]]</f>
        <v>0.26041666666666652</v>
      </c>
      <c r="N56" t="str">
        <f>Table3[[#This Row],[Supervisor]]</f>
        <v>Anmecha Valencia</v>
      </c>
      <c r="O56" t="str">
        <f>IFERROR(TEXT(TIMEVALUE(LEFT(Table3[[#This Row],[PH SHIFT]],5)),"h:mm AM/PM")&amp;" - "&amp;TEXT(TIMEVALUE(RIGHT(Table3[[#This Row],[PH SHIFT]],5)),"h:mm AM/PM"),"OFF")</f>
        <v>12:00 pm - 11:00 pm</v>
      </c>
      <c r="P56">
        <f t="shared" si="0"/>
        <v>1</v>
      </c>
    </row>
    <row r="57" spans="1:16" x14ac:dyDescent="0.25">
      <c r="A57" t="str">
        <f>Table3[[#This Row],[Name]]</f>
        <v>Raquela Nicole Lareta</v>
      </c>
      <c r="B57" t="str">
        <f>IFERROR(TEXT(TIMEVALUE(LEFT(Table3[[#This Row],[Monday]],5)),"h:mm AM/PM")&amp;" - "&amp;TEXT(TIMEVALUE(RIGHT(Table3[[#This Row],[Monday]],5)),"h:mm AM/PM"),"OFF")</f>
        <v>5:00 am - 4:00 pm</v>
      </c>
      <c r="C57" t="str">
        <f>IFERROR(TEXT(TIMEVALUE(LEFT(Table3[[#This Row],[Tuesday]],5)),"h:mm AM/PM")&amp;" - "&amp;TEXT(TIMEVALUE(RIGHT(Table3[[#This Row],[Tuesday]],5)),"h:mm AM/PM"),"OFF")</f>
        <v>5:00 am - 4:00 pm</v>
      </c>
      <c r="D57" t="str">
        <f>IFERROR(TEXT(TIMEVALUE(LEFT(Table3[[#This Row],[Wednesday]],5)),"h:mm AM/PM")&amp;" - "&amp;TEXT(TIMEVALUE(RIGHT(Table3[[#This Row],[Wednesday]],5)),"h:mm AM/PM"),"OFF")</f>
        <v>5:00 am - 4:00 pm</v>
      </c>
      <c r="E57" t="str">
        <f>IFERROR(TEXT(TIMEVALUE(LEFT(Table3[[#This Row],[Thursday]],5)),"h:mm AM/PM")&amp;" - "&amp;TEXT(TIMEVALUE(RIGHT(Table3[[#This Row],[Thursday]],5)),"h:mm AM/PM"),"OFF")</f>
        <v>5:00 am - 4:00 pm</v>
      </c>
      <c r="F57" t="str">
        <f>IFERROR(TEXT(TIMEVALUE(LEFT(Table3[[#This Row],[Friday]],5)),"h:mm AM/PM")&amp;" - "&amp;TEXT(TIMEVALUE(RIGHT(Table3[[#This Row],[Friday]],5)),"h:mm AM/PM"),"OFF")</f>
        <v>OFF</v>
      </c>
      <c r="G57" t="str">
        <f>IFERROR(TEXT(TIMEVALUE(LEFT(Table3[[#This Row],[Saturday]],5)),"h:mm AM/PM")&amp;" - "&amp;TEXT(TIMEVALUE(RIGHT(Table3[[#This Row],[Saturday]],5)),"h:mm AM/PM"),"OFF")</f>
        <v>OFF</v>
      </c>
      <c r="H57" t="str">
        <f>IFERROR(TEXT(TIMEVALUE(LEFT(Table3[[#This Row],[Sunday]],5)),"h:mm AM/PM")&amp;" - "&amp;TEXT(TIMEVALUE(RIGHT(Table3[[#This Row],[Sunday]],5)),"h:mm AM/PM"),"OFF")</f>
        <v>OFF</v>
      </c>
      <c r="I57" t="str">
        <f t="shared" si="1"/>
        <v>Fri - Sat - Sun</v>
      </c>
      <c r="J57" s="37">
        <f>Table3[[#This Row],[Break 1]]</f>
        <v>0.3125</v>
      </c>
      <c r="K57" s="37">
        <f>Table3[[#This Row],[Break 2]]</f>
        <v>0.51041666666666663</v>
      </c>
      <c r="L57" s="37">
        <f>Table3[[#This Row],[Lunch]]</f>
        <v>0.39583333333333348</v>
      </c>
      <c r="M57" s="37">
        <f>Table3[[#This Row],[Break 3]]</f>
        <v>0.61458333333333337</v>
      </c>
      <c r="N57" t="str">
        <f>Table3[[#This Row],[Supervisor]]</f>
        <v>Christopher Rodas</v>
      </c>
      <c r="O57" t="str">
        <f>IFERROR(TEXT(TIMEVALUE(LEFT(Table3[[#This Row],[PH SHIFT]],5)),"h:mm AM/PM")&amp;" - "&amp;TEXT(TIMEVALUE(RIGHT(Table3[[#This Row],[PH SHIFT]],5)),"h:mm AM/PM"),"OFF")</f>
        <v>11:00 am - 10:00 pm</v>
      </c>
      <c r="P57">
        <f t="shared" si="0"/>
        <v>0</v>
      </c>
    </row>
    <row r="58" spans="1:16" x14ac:dyDescent="0.25">
      <c r="A58" t="str">
        <f>Table3[[#This Row],[Name]]</f>
        <v>Rayniel Ingal</v>
      </c>
      <c r="B58" t="str">
        <f>IFERROR(TEXT(TIMEVALUE(LEFT(Table3[[#This Row],[Monday]],5)),"h:mm AM/PM")&amp;" - "&amp;TEXT(TIMEVALUE(RIGHT(Table3[[#This Row],[Monday]],5)),"h:mm AM/PM"),"OFF")</f>
        <v>12:00 pm - 11:00 pm</v>
      </c>
      <c r="C58" t="str">
        <f>IFERROR(TEXT(TIMEVALUE(LEFT(Table3[[#This Row],[Tuesday]],5)),"h:mm AM/PM")&amp;" - "&amp;TEXT(TIMEVALUE(RIGHT(Table3[[#This Row],[Tuesday]],5)),"h:mm AM/PM"),"OFF")</f>
        <v>12:00 pm - 11:00 pm</v>
      </c>
      <c r="D58" t="str">
        <f>IFERROR(TEXT(TIMEVALUE(LEFT(Table3[[#This Row],[Wednesday]],5)),"h:mm AM/PM")&amp;" - "&amp;TEXT(TIMEVALUE(RIGHT(Table3[[#This Row],[Wednesday]],5)),"h:mm AM/PM"),"OFF")</f>
        <v>OFF</v>
      </c>
      <c r="E58" t="str">
        <f>IFERROR(TEXT(TIMEVALUE(LEFT(Table3[[#This Row],[Thursday]],5)),"h:mm AM/PM")&amp;" - "&amp;TEXT(TIMEVALUE(RIGHT(Table3[[#This Row],[Thursday]],5)),"h:mm AM/PM"),"OFF")</f>
        <v>OFF</v>
      </c>
      <c r="F58" t="str">
        <f>IFERROR(TEXT(TIMEVALUE(LEFT(Table3[[#This Row],[Friday]],5)),"h:mm AM/PM")&amp;" - "&amp;TEXT(TIMEVALUE(RIGHT(Table3[[#This Row],[Friday]],5)),"h:mm AM/PM"),"OFF")</f>
        <v>OFF</v>
      </c>
      <c r="G58" t="str">
        <f>IFERROR(TEXT(TIMEVALUE(LEFT(Table3[[#This Row],[Saturday]],5)),"h:mm AM/PM")&amp;" - "&amp;TEXT(TIMEVALUE(RIGHT(Table3[[#This Row],[Saturday]],5)),"h:mm AM/PM"),"OFF")</f>
        <v>12:00 pm - 11:00 pm</v>
      </c>
      <c r="H58" t="str">
        <f>IFERROR(TEXT(TIMEVALUE(LEFT(Table3[[#This Row],[Sunday]],5)),"h:mm AM/PM")&amp;" - "&amp;TEXT(TIMEVALUE(RIGHT(Table3[[#This Row],[Sunday]],5)),"h:mm AM/PM"),"OFF")</f>
        <v>12:00 pm - 11:00 pm</v>
      </c>
      <c r="I58" t="str">
        <f t="shared" si="1"/>
        <v>Wed - Thu - Fri</v>
      </c>
      <c r="J58" s="37">
        <f>Table3[[#This Row],[Break 1]]</f>
        <v>0.58333333333333337</v>
      </c>
      <c r="K58" s="37">
        <f>Table3[[#This Row],[Break 2]]</f>
        <v>0.66666666666666663</v>
      </c>
      <c r="L58" s="37">
        <f>Table3[[#This Row],[Lunch]]</f>
        <v>0.79166666666666674</v>
      </c>
      <c r="M58" s="37">
        <f>Table3[[#This Row],[Break 3]]</f>
        <v>0.91666666666666674</v>
      </c>
      <c r="N58" t="str">
        <f>Table3[[#This Row],[Supervisor]]</f>
        <v>Chris Borromeo</v>
      </c>
      <c r="O58" t="str">
        <f>IFERROR(TEXT(TIMEVALUE(LEFT(Table3[[#This Row],[PH SHIFT]],5)),"h:mm AM/PM")&amp;" - "&amp;TEXT(TIMEVALUE(RIGHT(Table3[[#This Row],[PH SHIFT]],5)),"h:mm AM/PM"),"OFF")</f>
        <v>9:00 pm - 8:00 am</v>
      </c>
      <c r="P58">
        <f t="shared" si="0"/>
        <v>1</v>
      </c>
    </row>
    <row r="59" spans="1:16" x14ac:dyDescent="0.25">
      <c r="A59" t="str">
        <f>Table3[[#This Row],[Name]]</f>
        <v>Rey Fernandez</v>
      </c>
      <c r="B59" t="str">
        <f>IFERROR(TEXT(TIMEVALUE(LEFT(Table3[[#This Row],[Monday]],5)),"h:mm AM/PM")&amp;" - "&amp;TEXT(TIMEVALUE(RIGHT(Table3[[#This Row],[Monday]],5)),"h:mm AM/PM"),"OFF")</f>
        <v>11:00 am - 10:00 pm</v>
      </c>
      <c r="C59" t="str">
        <f>IFERROR(TEXT(TIMEVALUE(LEFT(Table3[[#This Row],[Tuesday]],5)),"h:mm AM/PM")&amp;" - "&amp;TEXT(TIMEVALUE(RIGHT(Table3[[#This Row],[Tuesday]],5)),"h:mm AM/PM"),"OFF")</f>
        <v>OFF</v>
      </c>
      <c r="D59" t="str">
        <f>IFERROR(TEXT(TIMEVALUE(LEFT(Table3[[#This Row],[Wednesday]],5)),"h:mm AM/PM")&amp;" - "&amp;TEXT(TIMEVALUE(RIGHT(Table3[[#This Row],[Wednesday]],5)),"h:mm AM/PM"),"OFF")</f>
        <v>OFF</v>
      </c>
      <c r="E59" t="str">
        <f>IFERROR(TEXT(TIMEVALUE(LEFT(Table3[[#This Row],[Thursday]],5)),"h:mm AM/PM")&amp;" - "&amp;TEXT(TIMEVALUE(RIGHT(Table3[[#This Row],[Thursday]],5)),"h:mm AM/PM"),"OFF")</f>
        <v>11:00 am - 10:00 pm</v>
      </c>
      <c r="F59" t="str">
        <f>IFERROR(TEXT(TIMEVALUE(LEFT(Table3[[#This Row],[Friday]],5)),"h:mm AM/PM")&amp;" - "&amp;TEXT(TIMEVALUE(RIGHT(Table3[[#This Row],[Friday]],5)),"h:mm AM/PM"),"OFF")</f>
        <v>11:00 am - 10:00 pm</v>
      </c>
      <c r="G59" t="str">
        <f>IFERROR(TEXT(TIMEVALUE(LEFT(Table3[[#This Row],[Saturday]],5)),"h:mm AM/PM")&amp;" - "&amp;TEXT(TIMEVALUE(RIGHT(Table3[[#This Row],[Saturday]],5)),"h:mm AM/PM"),"OFF")</f>
        <v>OFF</v>
      </c>
      <c r="H59" t="str">
        <f>IFERROR(TEXT(TIMEVALUE(LEFT(Table3[[#This Row],[Sunday]],5)),"h:mm AM/PM")&amp;" - "&amp;TEXT(TIMEVALUE(RIGHT(Table3[[#This Row],[Sunday]],5)),"h:mm AM/PM"),"OFF")</f>
        <v>11:00 am - 10:00 pm</v>
      </c>
      <c r="I59" t="str">
        <f t="shared" si="1"/>
        <v>Tue - Wed - Sat</v>
      </c>
      <c r="J59" s="37">
        <f>Table3[[#This Row],[Break 1]]</f>
        <v>0.92708333333333326</v>
      </c>
      <c r="K59" s="37">
        <f>Table3[[#This Row],[Break 2]]</f>
        <v>0.15625</v>
      </c>
      <c r="L59" s="37">
        <f>Table3[[#This Row],[Lunch]]</f>
        <v>3.125E-2</v>
      </c>
      <c r="M59" s="37">
        <f>Table3[[#This Row],[Break 3]]</f>
        <v>0.25</v>
      </c>
      <c r="N59" t="str">
        <f>Table3[[#This Row],[Supervisor]]</f>
        <v>Remmo Panaligan</v>
      </c>
      <c r="O59" t="str">
        <f>IFERROR(TEXT(TIMEVALUE(LEFT(Table3[[#This Row],[PH SHIFT]],5)),"h:mm AM/PM")&amp;" - "&amp;TEXT(TIMEVALUE(RIGHT(Table3[[#This Row],[PH SHIFT]],5)),"h:mm AM/PM"),"OFF")</f>
        <v>11:00 pm - 10:00 am</v>
      </c>
      <c r="P59">
        <f t="shared" si="0"/>
        <v>1</v>
      </c>
    </row>
    <row r="60" spans="1:16" x14ac:dyDescent="0.25">
      <c r="A60" t="str">
        <f>Table3[[#This Row],[Name]]</f>
        <v>Rona Rotchel Moniva</v>
      </c>
      <c r="B60" t="str">
        <f>IFERROR(TEXT(TIMEVALUE(LEFT(Table3[[#This Row],[Monday]],5)),"h:mm AM/PM")&amp;" - "&amp;TEXT(TIMEVALUE(RIGHT(Table3[[#This Row],[Monday]],5)),"h:mm AM/PM"),"OFF")</f>
        <v>OFF</v>
      </c>
      <c r="C60" t="str">
        <f>IFERROR(TEXT(TIMEVALUE(LEFT(Table3[[#This Row],[Tuesday]],5)),"h:mm AM/PM")&amp;" - "&amp;TEXT(TIMEVALUE(RIGHT(Table3[[#This Row],[Tuesday]],5)),"h:mm AM/PM"),"OFF")</f>
        <v>OFF</v>
      </c>
      <c r="D60" t="str">
        <f>IFERROR(TEXT(TIMEVALUE(LEFT(Table3[[#This Row],[Wednesday]],5)),"h:mm AM/PM")&amp;" - "&amp;TEXT(TIMEVALUE(RIGHT(Table3[[#This Row],[Wednesday]],5)),"h:mm AM/PM"),"OFF")</f>
        <v>9:00 pm - 8:00 am</v>
      </c>
      <c r="E60" t="str">
        <f>IFERROR(TEXT(TIMEVALUE(LEFT(Table3[[#This Row],[Thursday]],5)),"h:mm AM/PM")&amp;" - "&amp;TEXT(TIMEVALUE(RIGHT(Table3[[#This Row],[Thursday]],5)),"h:mm AM/PM"),"OFF")</f>
        <v>9:00 pm - 8:00 am</v>
      </c>
      <c r="F60" t="str">
        <f>IFERROR(TEXT(TIMEVALUE(LEFT(Table3[[#This Row],[Friday]],5)),"h:mm AM/PM")&amp;" - "&amp;TEXT(TIMEVALUE(RIGHT(Table3[[#This Row],[Friday]],5)),"h:mm AM/PM"),"OFF")</f>
        <v>9:00 pm - 8:00 am</v>
      </c>
      <c r="G60" t="str">
        <f>IFERROR(TEXT(TIMEVALUE(LEFT(Table3[[#This Row],[Saturday]],5)),"h:mm AM/PM")&amp;" - "&amp;TEXT(TIMEVALUE(RIGHT(Table3[[#This Row],[Saturday]],5)),"h:mm AM/PM"),"OFF")</f>
        <v>9:00 pm - 8:00 am</v>
      </c>
      <c r="H60" t="str">
        <f>IFERROR(TEXT(TIMEVALUE(LEFT(Table3[[#This Row],[Sunday]],5)),"h:mm AM/PM")&amp;" - "&amp;TEXT(TIMEVALUE(RIGHT(Table3[[#This Row],[Sunday]],5)),"h:mm AM/PM"),"OFF")</f>
        <v>OFF</v>
      </c>
      <c r="I60" t="str">
        <f t="shared" si="1"/>
        <v>Mon - Tue - Sun</v>
      </c>
      <c r="J60" s="37">
        <f>Table3[[#This Row],[Break 1]]</f>
        <v>0.96875</v>
      </c>
      <c r="K60" s="37">
        <f>Table3[[#This Row],[Break 2]]</f>
        <v>0.22916666666666652</v>
      </c>
      <c r="L60" s="37">
        <f>Table3[[#This Row],[Lunch]]</f>
        <v>6.25E-2</v>
      </c>
      <c r="M60" s="37">
        <f>Table3[[#This Row],[Break 3]]</f>
        <v>0.29166666666666652</v>
      </c>
      <c r="N60" t="str">
        <f>Table3[[#This Row],[Supervisor]]</f>
        <v>Manilyn Abellar</v>
      </c>
      <c r="O60" t="str">
        <f>IFERROR(TEXT(TIMEVALUE(LEFT(Table3[[#This Row],[PH SHIFT]],5)),"h:mm AM/PM")&amp;" - "&amp;TEXT(TIMEVALUE(RIGHT(Table3[[#This Row],[PH SHIFT]],5)),"h:mm AM/PM"),"OFF")</f>
        <v>10:30 pm - 9:30 am</v>
      </c>
      <c r="P60">
        <f t="shared" si="0"/>
        <v>1</v>
      </c>
    </row>
    <row r="61" spans="1:16" x14ac:dyDescent="0.25">
      <c r="A61" t="str">
        <f>Table3[[#This Row],[Name]]</f>
        <v>Roy Sagales</v>
      </c>
      <c r="B61" t="str">
        <f>IFERROR(TEXT(TIMEVALUE(LEFT(Table3[[#This Row],[Monday]],5)),"h:mm AM/PM")&amp;" - "&amp;TEXT(TIMEVALUE(RIGHT(Table3[[#This Row],[Monday]],5)),"h:mm AM/PM"),"OFF")</f>
        <v>7:00 pm - 6:00 am</v>
      </c>
      <c r="C61" t="str">
        <f>IFERROR(TEXT(TIMEVALUE(LEFT(Table3[[#This Row],[Tuesday]],5)),"h:mm AM/PM")&amp;" - "&amp;TEXT(TIMEVALUE(RIGHT(Table3[[#This Row],[Tuesday]],5)),"h:mm AM/PM"),"OFF")</f>
        <v>7:00 pm - 6:00 am</v>
      </c>
      <c r="D61" t="str">
        <f>IFERROR(TEXT(TIMEVALUE(LEFT(Table3[[#This Row],[Wednesday]],5)),"h:mm AM/PM")&amp;" - "&amp;TEXT(TIMEVALUE(RIGHT(Table3[[#This Row],[Wednesday]],5)),"h:mm AM/PM"),"OFF")</f>
        <v>OFF</v>
      </c>
      <c r="E61" t="str">
        <f>IFERROR(TEXT(TIMEVALUE(LEFT(Table3[[#This Row],[Thursday]],5)),"h:mm AM/PM")&amp;" - "&amp;TEXT(TIMEVALUE(RIGHT(Table3[[#This Row],[Thursday]],5)),"h:mm AM/PM"),"OFF")</f>
        <v>OFF</v>
      </c>
      <c r="F61" t="str">
        <f>IFERROR(TEXT(TIMEVALUE(LEFT(Table3[[#This Row],[Friday]],5)),"h:mm AM/PM")&amp;" - "&amp;TEXT(TIMEVALUE(RIGHT(Table3[[#This Row],[Friday]],5)),"h:mm AM/PM"),"OFF")</f>
        <v>OFF</v>
      </c>
      <c r="G61" t="str">
        <f>IFERROR(TEXT(TIMEVALUE(LEFT(Table3[[#This Row],[Saturday]],5)),"h:mm AM/PM")&amp;" - "&amp;TEXT(TIMEVALUE(RIGHT(Table3[[#This Row],[Saturday]],5)),"h:mm AM/PM"),"OFF")</f>
        <v>7:00 pm - 6:00 am</v>
      </c>
      <c r="H61" t="str">
        <f>IFERROR(TEXT(TIMEVALUE(LEFT(Table3[[#This Row],[Sunday]],5)),"h:mm AM/PM")&amp;" - "&amp;TEXT(TIMEVALUE(RIGHT(Table3[[#This Row],[Sunday]],5)),"h:mm AM/PM"),"OFF")</f>
        <v>7:00 pm - 6:00 am</v>
      </c>
      <c r="I61" t="str">
        <f t="shared" si="1"/>
        <v>Wed - Thu - Fri</v>
      </c>
      <c r="J61" s="37">
        <f>Table3[[#This Row],[Break 1]]</f>
        <v>0.86458333333333326</v>
      </c>
      <c r="K61" s="37">
        <f>Table3[[#This Row],[Break 2]]</f>
        <v>7.2916666666666519E-2</v>
      </c>
      <c r="L61" s="37">
        <f>Table3[[#This Row],[Lunch]]</f>
        <v>0.94791666666666674</v>
      </c>
      <c r="M61" s="37">
        <f>Table3[[#This Row],[Break 3]]</f>
        <v>0.17708333333333348</v>
      </c>
      <c r="N61" t="str">
        <f>Table3[[#This Row],[Supervisor]]</f>
        <v>Michael Dominguez</v>
      </c>
      <c r="O61" t="str">
        <f>IFERROR(TEXT(TIMEVALUE(LEFT(Table3[[#This Row],[PH SHIFT]],5)),"h:mm AM/PM")&amp;" - "&amp;TEXT(TIMEVALUE(RIGHT(Table3[[#This Row],[PH SHIFT]],5)),"h:mm AM/PM"),"OFF")</f>
        <v>9:00 pm - 8:00 am</v>
      </c>
      <c r="P61">
        <f t="shared" si="0"/>
        <v>1</v>
      </c>
    </row>
    <row r="62" spans="1:16" x14ac:dyDescent="0.25">
      <c r="A62" t="str">
        <f>Table3[[#This Row],[Name]]</f>
        <v>Sam Supnet</v>
      </c>
      <c r="B62" t="str">
        <f>IFERROR(TEXT(TIMEVALUE(LEFT(Table3[[#This Row],[Monday]],5)),"h:mm AM/PM")&amp;" - "&amp;TEXT(TIMEVALUE(RIGHT(Table3[[#This Row],[Monday]],5)),"h:mm AM/PM"),"OFF")</f>
        <v>10:30 pm - 9:30 am</v>
      </c>
      <c r="C62" t="str">
        <f>IFERROR(TEXT(TIMEVALUE(LEFT(Table3[[#This Row],[Tuesday]],5)),"h:mm AM/PM")&amp;" - "&amp;TEXT(TIMEVALUE(RIGHT(Table3[[#This Row],[Tuesday]],5)),"h:mm AM/PM"),"OFF")</f>
        <v>10:30 pm - 9:30 am</v>
      </c>
      <c r="D62" t="str">
        <f>IFERROR(TEXT(TIMEVALUE(LEFT(Table3[[#This Row],[Wednesday]],5)),"h:mm AM/PM")&amp;" - "&amp;TEXT(TIMEVALUE(RIGHT(Table3[[#This Row],[Wednesday]],5)),"h:mm AM/PM"),"OFF")</f>
        <v>OFF</v>
      </c>
      <c r="E62" t="str">
        <f>IFERROR(TEXT(TIMEVALUE(LEFT(Table3[[#This Row],[Thursday]],5)),"h:mm AM/PM")&amp;" - "&amp;TEXT(TIMEVALUE(RIGHT(Table3[[#This Row],[Thursday]],5)),"h:mm AM/PM"),"OFF")</f>
        <v>OFF</v>
      </c>
      <c r="F62" t="str">
        <f>IFERROR(TEXT(TIMEVALUE(LEFT(Table3[[#This Row],[Friday]],5)),"h:mm AM/PM")&amp;" - "&amp;TEXT(TIMEVALUE(RIGHT(Table3[[#This Row],[Friday]],5)),"h:mm AM/PM"),"OFF")</f>
        <v>OFF</v>
      </c>
      <c r="G62" t="str">
        <f>IFERROR(TEXT(TIMEVALUE(LEFT(Table3[[#This Row],[Saturday]],5)),"h:mm AM/PM")&amp;" - "&amp;TEXT(TIMEVALUE(RIGHT(Table3[[#This Row],[Saturday]],5)),"h:mm AM/PM"),"OFF")</f>
        <v>10:30 pm - 9:30 am</v>
      </c>
      <c r="H62" t="str">
        <f>IFERROR(TEXT(TIMEVALUE(LEFT(Table3[[#This Row],[Sunday]],5)),"h:mm AM/PM")&amp;" - "&amp;TEXT(TIMEVALUE(RIGHT(Table3[[#This Row],[Sunday]],5)),"h:mm AM/PM"),"OFF")</f>
        <v>10:30 pm - 9:30 am</v>
      </c>
      <c r="I62" t="str">
        <f t="shared" si="1"/>
        <v>Wed - Thu - Fri</v>
      </c>
      <c r="J62" s="37">
        <f>Table3[[#This Row],[Break 1]]</f>
        <v>3.125E-2</v>
      </c>
      <c r="K62" s="37">
        <f>Table3[[#This Row],[Break 2]]</f>
        <v>0.26041666666666652</v>
      </c>
      <c r="L62" s="37">
        <f>Table3[[#This Row],[Lunch]]</f>
        <v>0.14583333333333348</v>
      </c>
      <c r="M62" s="37">
        <f>Table3[[#This Row],[Break 3]]</f>
        <v>0.375</v>
      </c>
      <c r="N62" t="str">
        <f>Table3[[#This Row],[Supervisor]]</f>
        <v>Michael Dominguez</v>
      </c>
      <c r="O62" t="str">
        <f>IFERROR(TEXT(TIMEVALUE(LEFT(Table3[[#This Row],[PH SHIFT]],5)),"h:mm AM/PM")&amp;" - "&amp;TEXT(TIMEVALUE(RIGHT(Table3[[#This Row],[PH SHIFT]],5)),"h:mm AM/PM"),"OFF")</f>
        <v>7:00 pm - 6:00 am</v>
      </c>
      <c r="P62">
        <f t="shared" si="0"/>
        <v>1</v>
      </c>
    </row>
    <row r="63" spans="1:16" x14ac:dyDescent="0.25">
      <c r="A63" t="str">
        <f>Table3[[#This Row],[Name]]</f>
        <v>Samantha Yvonne Dela Costa</v>
      </c>
      <c r="B63" t="str">
        <f>IFERROR(TEXT(TIMEVALUE(LEFT(Table3[[#This Row],[Monday]],5)),"h:mm AM/PM")&amp;" - "&amp;TEXT(TIMEVALUE(RIGHT(Table3[[#This Row],[Monday]],5)),"h:mm AM/PM"),"OFF")</f>
        <v>9:00 pm - 8:00 am</v>
      </c>
      <c r="C63" t="str">
        <f>IFERROR(TEXT(TIMEVALUE(LEFT(Table3[[#This Row],[Tuesday]],5)),"h:mm AM/PM")&amp;" - "&amp;TEXT(TIMEVALUE(RIGHT(Table3[[#This Row],[Tuesday]],5)),"h:mm AM/PM"),"OFF")</f>
        <v>9:00 pm - 8:00 am</v>
      </c>
      <c r="D63" t="str">
        <f>IFERROR(TEXT(TIMEVALUE(LEFT(Table3[[#This Row],[Wednesday]],5)),"h:mm AM/PM")&amp;" - "&amp;TEXT(TIMEVALUE(RIGHT(Table3[[#This Row],[Wednesday]],5)),"h:mm AM/PM"),"OFF")</f>
        <v>9:00 pm - 8:00 am</v>
      </c>
      <c r="E63" t="str">
        <f>IFERROR(TEXT(TIMEVALUE(LEFT(Table3[[#This Row],[Thursday]],5)),"h:mm AM/PM")&amp;" - "&amp;TEXT(TIMEVALUE(RIGHT(Table3[[#This Row],[Thursday]],5)),"h:mm AM/PM"),"OFF")</f>
        <v>OFF</v>
      </c>
      <c r="F63" t="str">
        <f>IFERROR(TEXT(TIMEVALUE(LEFT(Table3[[#This Row],[Friday]],5)),"h:mm AM/PM")&amp;" - "&amp;TEXT(TIMEVALUE(RIGHT(Table3[[#This Row],[Friday]],5)),"h:mm AM/PM"),"OFF")</f>
        <v>9:00 pm - 8:00 am</v>
      </c>
      <c r="G63" t="str">
        <f>IFERROR(TEXT(TIMEVALUE(LEFT(Table3[[#This Row],[Saturday]],5)),"h:mm AM/PM")&amp;" - "&amp;TEXT(TIMEVALUE(RIGHT(Table3[[#This Row],[Saturday]],5)),"h:mm AM/PM"),"OFF")</f>
        <v>OFF</v>
      </c>
      <c r="H63" t="str">
        <f>IFERROR(TEXT(TIMEVALUE(LEFT(Table3[[#This Row],[Sunday]],5)),"h:mm AM/PM")&amp;" - "&amp;TEXT(TIMEVALUE(RIGHT(Table3[[#This Row],[Sunday]],5)),"h:mm AM/PM"),"OFF")</f>
        <v>OFF</v>
      </c>
      <c r="I63" t="str">
        <f t="shared" si="1"/>
        <v>Thu - Sat - Sun</v>
      </c>
      <c r="J63" s="37">
        <f>Table3[[#This Row],[Break 1]]</f>
        <v>0.98958333333333326</v>
      </c>
      <c r="K63" s="37">
        <f>Table3[[#This Row],[Break 2]]</f>
        <v>0.22916666666666652</v>
      </c>
      <c r="L63" s="37">
        <f>Table3[[#This Row],[Lunch]]</f>
        <v>0.10416666666666652</v>
      </c>
      <c r="M63" s="37">
        <f>Table3[[#This Row],[Break 3]]</f>
        <v>0.3125</v>
      </c>
      <c r="N63" t="str">
        <f>Table3[[#This Row],[Supervisor]]</f>
        <v>Anmecha Valencia</v>
      </c>
      <c r="O63" t="str">
        <f>IFERROR(TEXT(TIMEVALUE(LEFT(Table3[[#This Row],[PH SHIFT]],5)),"h:mm AM/PM")&amp;" - "&amp;TEXT(TIMEVALUE(RIGHT(Table3[[#This Row],[PH SHIFT]],5)),"h:mm AM/PM"),"OFF")</f>
        <v>8:00 pm - 7:00 am</v>
      </c>
      <c r="P63">
        <f t="shared" si="0"/>
        <v>1</v>
      </c>
    </row>
    <row r="64" spans="1:16" x14ac:dyDescent="0.25">
      <c r="A64" t="str">
        <f>Table3[[#This Row],[Name]]</f>
        <v>Sean Gabriel Ramirez</v>
      </c>
      <c r="B64" t="str">
        <f>IFERROR(TEXT(TIMEVALUE(LEFT(Table3[[#This Row],[Monday]],5)),"h:mm AM/PM")&amp;" - "&amp;TEXT(TIMEVALUE(RIGHT(Table3[[#This Row],[Monday]],5)),"h:mm AM/PM"),"OFF")</f>
        <v>OFF</v>
      </c>
      <c r="C64" t="str">
        <f>IFERROR(TEXT(TIMEVALUE(LEFT(Table3[[#This Row],[Tuesday]],5)),"h:mm AM/PM")&amp;" - "&amp;TEXT(TIMEVALUE(RIGHT(Table3[[#This Row],[Tuesday]],5)),"h:mm AM/PM"),"OFF")</f>
        <v>OFF</v>
      </c>
      <c r="D64" t="str">
        <f>IFERROR(TEXT(TIMEVALUE(LEFT(Table3[[#This Row],[Wednesday]],5)),"h:mm AM/PM")&amp;" - "&amp;TEXT(TIMEVALUE(RIGHT(Table3[[#This Row],[Wednesday]],5)),"h:mm AM/PM"),"OFF")</f>
        <v>OFF</v>
      </c>
      <c r="E64" t="str">
        <f>IFERROR(TEXT(TIMEVALUE(LEFT(Table3[[#This Row],[Thursday]],5)),"h:mm AM/PM")&amp;" - "&amp;TEXT(TIMEVALUE(RIGHT(Table3[[#This Row],[Thursday]],5)),"h:mm AM/PM"),"OFF")</f>
        <v>OFF</v>
      </c>
      <c r="F64" t="str">
        <f>IFERROR(TEXT(TIMEVALUE(LEFT(Table3[[#This Row],[Friday]],5)),"h:mm AM/PM")&amp;" - "&amp;TEXT(TIMEVALUE(RIGHT(Table3[[#This Row],[Friday]],5)),"h:mm AM/PM"),"OFF")</f>
        <v>OFF</v>
      </c>
      <c r="G64" t="str">
        <f>IFERROR(TEXT(TIMEVALUE(LEFT(Table3[[#This Row],[Saturday]],5)),"h:mm AM/PM")&amp;" - "&amp;TEXT(TIMEVALUE(RIGHT(Table3[[#This Row],[Saturday]],5)),"h:mm AM/PM"),"OFF")</f>
        <v>OFF</v>
      </c>
      <c r="H64" t="str">
        <f>IFERROR(TEXT(TIMEVALUE(LEFT(Table3[[#This Row],[Sunday]],5)),"h:mm AM/PM")&amp;" - "&amp;TEXT(TIMEVALUE(RIGHT(Table3[[#This Row],[Sunday]],5)),"h:mm AM/PM"),"OFF")</f>
        <v>OFF</v>
      </c>
      <c r="I64" t="str">
        <f t="shared" si="1"/>
        <v>Mon - Tue - Wed - Thu - Fri - Sat - Sun</v>
      </c>
      <c r="J64" s="37">
        <f>Table3[[#This Row],[Break 1]]</f>
        <v>0</v>
      </c>
      <c r="K64" s="37">
        <f>Table3[[#This Row],[Break 2]]</f>
        <v>0</v>
      </c>
      <c r="L64" s="37">
        <f>Table3[[#This Row],[Lunch]]</f>
        <v>0</v>
      </c>
      <c r="M64" s="37">
        <f>Table3[[#This Row],[Break 3]]</f>
        <v>0</v>
      </c>
      <c r="N64">
        <f>Table3[[#This Row],[Supervisor]]</f>
        <v>0</v>
      </c>
      <c r="O64" t="str">
        <f>IFERROR(TEXT(TIMEVALUE(LEFT(Table3[[#This Row],[PH SHIFT]],5)),"h:mm AM/PM")&amp;" - "&amp;TEXT(TIMEVALUE(RIGHT(Table3[[#This Row],[PH SHIFT]],5)),"h:mm AM/PM"),"OFF")</f>
        <v>OFF</v>
      </c>
      <c r="P64">
        <f t="shared" si="0"/>
        <v>0</v>
      </c>
    </row>
    <row r="65" spans="1:16" x14ac:dyDescent="0.25">
      <c r="A65" t="str">
        <f>Table3[[#This Row],[Name]]</f>
        <v>Shiela Mae Laroa</v>
      </c>
      <c r="B65" t="str">
        <f>IFERROR(TEXT(TIMEVALUE(LEFT(Table3[[#This Row],[Monday]],5)),"h:mm AM/PM")&amp;" - "&amp;TEXT(TIMEVALUE(RIGHT(Table3[[#This Row],[Monday]],5)),"h:mm AM/PM"),"OFF")</f>
        <v>OFF</v>
      </c>
      <c r="C65" t="str">
        <f>IFERROR(TEXT(TIMEVALUE(LEFT(Table3[[#This Row],[Tuesday]],5)),"h:mm AM/PM")&amp;" - "&amp;TEXT(TIMEVALUE(RIGHT(Table3[[#This Row],[Tuesday]],5)),"h:mm AM/PM"),"OFF")</f>
        <v>OFF</v>
      </c>
      <c r="D65" t="str">
        <f>IFERROR(TEXT(TIMEVALUE(LEFT(Table3[[#This Row],[Wednesday]],5)),"h:mm AM/PM")&amp;" - "&amp;TEXT(TIMEVALUE(RIGHT(Table3[[#This Row],[Wednesday]],5)),"h:mm AM/PM"),"OFF")</f>
        <v>OFF</v>
      </c>
      <c r="E65" t="str">
        <f>IFERROR(TEXT(TIMEVALUE(LEFT(Table3[[#This Row],[Thursday]],5)),"h:mm AM/PM")&amp;" - "&amp;TEXT(TIMEVALUE(RIGHT(Table3[[#This Row],[Thursday]],5)),"h:mm AM/PM"),"OFF")</f>
        <v>OFF</v>
      </c>
      <c r="F65" t="str">
        <f>IFERROR(TEXT(TIMEVALUE(LEFT(Table3[[#This Row],[Friday]],5)),"h:mm AM/PM")&amp;" - "&amp;TEXT(TIMEVALUE(RIGHT(Table3[[#This Row],[Friday]],5)),"h:mm AM/PM"),"OFF")</f>
        <v>OFF</v>
      </c>
      <c r="G65" t="str">
        <f>IFERROR(TEXT(TIMEVALUE(LEFT(Table3[[#This Row],[Saturday]],5)),"h:mm AM/PM")&amp;" - "&amp;TEXT(TIMEVALUE(RIGHT(Table3[[#This Row],[Saturday]],5)),"h:mm AM/PM"),"OFF")</f>
        <v>OFF</v>
      </c>
      <c r="H65" t="str">
        <f>IFERROR(TEXT(TIMEVALUE(LEFT(Table3[[#This Row],[Sunday]],5)),"h:mm AM/PM")&amp;" - "&amp;TEXT(TIMEVALUE(RIGHT(Table3[[#This Row],[Sunday]],5)),"h:mm AM/PM"),"OFF")</f>
        <v>OFF</v>
      </c>
      <c r="I65" t="str">
        <f t="shared" si="1"/>
        <v>Mon - Tue - Wed - Thu - Fri - Sat - Sun</v>
      </c>
      <c r="J65" s="37">
        <f>Table3[[#This Row],[Break 1]]</f>
        <v>0</v>
      </c>
      <c r="K65" s="37">
        <f>Table3[[#This Row],[Break 2]]</f>
        <v>0</v>
      </c>
      <c r="L65" s="37">
        <f>Table3[[#This Row],[Lunch]]</f>
        <v>0</v>
      </c>
      <c r="M65" s="37">
        <f>Table3[[#This Row],[Break 3]]</f>
        <v>0</v>
      </c>
      <c r="N65">
        <f>Table3[[#This Row],[Supervisor]]</f>
        <v>0</v>
      </c>
      <c r="O65" t="str">
        <f>IFERROR(TEXT(TIMEVALUE(LEFT(Table3[[#This Row],[PH SHIFT]],5)),"h:mm AM/PM")&amp;" - "&amp;TEXT(TIMEVALUE(RIGHT(Table3[[#This Row],[PH SHIFT]],5)),"h:mm AM/PM"),"OFF")</f>
        <v>OFF</v>
      </c>
      <c r="P65">
        <f t="shared" si="0"/>
        <v>0</v>
      </c>
    </row>
    <row r="66" spans="1:16" x14ac:dyDescent="0.25">
      <c r="A66" t="str">
        <f>Table3[[#This Row],[Name]]</f>
        <v>William Nava</v>
      </c>
      <c r="B66" t="str">
        <f>IFERROR(TEXT(TIMEVALUE(LEFT(Table3[[#This Row],[Monday]],5)),"h:mm AM/PM")&amp;" - "&amp;TEXT(TIMEVALUE(RIGHT(Table3[[#This Row],[Monday]],5)),"h:mm AM/PM"),"OFF")</f>
        <v>OFF</v>
      </c>
      <c r="C66" t="str">
        <f>IFERROR(TEXT(TIMEVALUE(LEFT(Table3[[#This Row],[Tuesday]],5)),"h:mm AM/PM")&amp;" - "&amp;TEXT(TIMEVALUE(RIGHT(Table3[[#This Row],[Tuesday]],5)),"h:mm AM/PM"),"OFF")</f>
        <v>OFF</v>
      </c>
      <c r="D66" t="str">
        <f>IFERROR(TEXT(TIMEVALUE(LEFT(Table3[[#This Row],[Wednesday]],5)),"h:mm AM/PM")&amp;" - "&amp;TEXT(TIMEVALUE(RIGHT(Table3[[#This Row],[Wednesday]],5)),"h:mm AM/PM"),"OFF")</f>
        <v>OFF</v>
      </c>
      <c r="E66" t="str">
        <f>IFERROR(TEXT(TIMEVALUE(LEFT(Table3[[#This Row],[Thursday]],5)),"h:mm AM/PM")&amp;" - "&amp;TEXT(TIMEVALUE(RIGHT(Table3[[#This Row],[Thursday]],5)),"h:mm AM/PM"),"OFF")</f>
        <v>OFF</v>
      </c>
      <c r="F66" t="str">
        <f>IFERROR(TEXT(TIMEVALUE(LEFT(Table3[[#This Row],[Friday]],5)),"h:mm AM/PM")&amp;" - "&amp;TEXT(TIMEVALUE(RIGHT(Table3[[#This Row],[Friday]],5)),"h:mm AM/PM"),"OFF")</f>
        <v>OFF</v>
      </c>
      <c r="G66" t="str">
        <f>IFERROR(TEXT(TIMEVALUE(LEFT(Table3[[#This Row],[Saturday]],5)),"h:mm AM/PM")&amp;" - "&amp;TEXT(TIMEVALUE(RIGHT(Table3[[#This Row],[Saturday]],5)),"h:mm AM/PM"),"OFF")</f>
        <v>OFF</v>
      </c>
      <c r="H66" t="str">
        <f>IFERROR(TEXT(TIMEVALUE(LEFT(Table3[[#This Row],[Sunday]],5)),"h:mm AM/PM")&amp;" - "&amp;TEXT(TIMEVALUE(RIGHT(Table3[[#This Row],[Sunday]],5)),"h:mm AM/PM"),"OFF")</f>
        <v>OFF</v>
      </c>
      <c r="I66" t="str">
        <f t="shared" si="1"/>
        <v>Mon - Tue - Wed - Thu - Fri - Sat - Sun</v>
      </c>
      <c r="J66" s="37">
        <f>Table3[[#This Row],[Break 1]]</f>
        <v>0</v>
      </c>
      <c r="K66" s="37">
        <f>Table3[[#This Row],[Break 2]]</f>
        <v>0</v>
      </c>
      <c r="L66" s="37">
        <f>Table3[[#This Row],[Lunch]]</f>
        <v>0</v>
      </c>
      <c r="M66" s="37">
        <f>Table3[[#This Row],[Break 3]]</f>
        <v>0</v>
      </c>
      <c r="N66">
        <f>Table3[[#This Row],[Supervisor]]</f>
        <v>0</v>
      </c>
      <c r="O66" t="str">
        <f>IFERROR(TEXT(TIMEVALUE(LEFT(Table3[[#This Row],[PH SHIFT]],5)),"h:mm AM/PM")&amp;" - "&amp;TEXT(TIMEVALUE(RIGHT(Table3[[#This Row],[PH SHIFT]],5)),"h:mm AM/PM"),"OFF")</f>
        <v>OFF</v>
      </c>
      <c r="P66">
        <f t="shared" ref="P66" si="2">IF(O66="OFF",0,IF(ISNUMBER(SEARCH("pm",LEFT(O66,FIND(" - ",O66)-1))),1,0))</f>
        <v>0</v>
      </c>
    </row>
  </sheetData>
  <conditionalFormatting sqref="B1:H1048576">
    <cfRule type="containsText" dxfId="1" priority="1" operator="containsText" text="OFF">
      <formula>NOT(ISERROR(SEARCH("OFF",B1)))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AG72"/>
  <sheetViews>
    <sheetView topLeftCell="U1" zoomScaleNormal="100" workbookViewId="0">
      <pane ySplit="1" topLeftCell="A2" activePane="bottomLeft" state="frozen"/>
      <selection pane="bottomLeft" activeCell="AG3" sqref="AG3"/>
    </sheetView>
  </sheetViews>
  <sheetFormatPr defaultRowHeight="15" x14ac:dyDescent="0.25"/>
  <cols>
    <col min="1" max="1" width="26.85546875" bestFit="1" customWidth="1"/>
    <col min="2" max="3" width="12.42578125" bestFit="1" customWidth="1"/>
    <col min="4" max="4" width="13.85546875" bestFit="1" customWidth="1"/>
    <col min="5" max="8" width="12.42578125" bestFit="1" customWidth="1"/>
    <col min="9" max="9" width="14.85546875" bestFit="1" customWidth="1"/>
    <col min="10" max="11" width="10" bestFit="1" customWidth="1"/>
    <col min="12" max="12" width="8.85546875" bestFit="1" customWidth="1"/>
    <col min="13" max="13" width="10" bestFit="1" customWidth="1"/>
    <col min="14" max="14" width="20.28515625" customWidth="1"/>
    <col min="15" max="15" width="12.42578125" bestFit="1" customWidth="1"/>
    <col min="16" max="16" width="11.5703125" bestFit="1" customWidth="1"/>
    <col min="17" max="17" width="11.5703125" customWidth="1"/>
    <col min="18" max="26" width="21" customWidth="1"/>
    <col min="27" max="30" width="10.5703125" customWidth="1"/>
    <col min="31" max="31" width="16.7109375" customWidth="1"/>
    <col min="32" max="32" width="18.5703125" bestFit="1" customWidth="1"/>
    <col min="33" max="33" width="13" customWidth="1"/>
  </cols>
  <sheetData>
    <row r="1" spans="1:33" x14ac:dyDescent="0.25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1" t="s">
        <v>8</v>
      </c>
      <c r="J1" s="50" t="s">
        <v>9</v>
      </c>
      <c r="K1" s="50" t="s">
        <v>10</v>
      </c>
      <c r="L1" s="50" t="s">
        <v>11</v>
      </c>
      <c r="M1" s="50" t="s">
        <v>12</v>
      </c>
      <c r="N1" s="50" t="s">
        <v>13</v>
      </c>
      <c r="O1" s="50" t="s">
        <v>14</v>
      </c>
      <c r="P1" t="s">
        <v>15</v>
      </c>
      <c r="R1" s="56" t="s">
        <v>0</v>
      </c>
      <c r="S1" s="56" t="s">
        <v>1</v>
      </c>
      <c r="T1" s="56" t="s">
        <v>2</v>
      </c>
      <c r="U1" s="56" t="s">
        <v>3</v>
      </c>
      <c r="V1" s="56" t="s">
        <v>4</v>
      </c>
      <c r="W1" s="56" t="s">
        <v>5</v>
      </c>
      <c r="X1" s="56" t="s">
        <v>6</v>
      </c>
      <c r="Y1" s="56" t="s">
        <v>7</v>
      </c>
      <c r="Z1" s="57" t="s">
        <v>8</v>
      </c>
      <c r="AA1" s="56" t="s">
        <v>9</v>
      </c>
      <c r="AB1" s="56" t="s">
        <v>10</v>
      </c>
      <c r="AC1" s="56" t="s">
        <v>11</v>
      </c>
      <c r="AD1" s="56" t="s">
        <v>12</v>
      </c>
      <c r="AE1" s="56" t="s">
        <v>13</v>
      </c>
      <c r="AF1" s="56" t="s">
        <v>14</v>
      </c>
      <c r="AG1" s="54" t="s">
        <v>15</v>
      </c>
    </row>
    <row r="2" spans="1:33" x14ac:dyDescent="0.25">
      <c r="A2" s="6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">
        <v>19</v>
      </c>
      <c r="J2" s="53">
        <v>0.125</v>
      </c>
      <c r="K2" s="53">
        <v>0.35416666666666669</v>
      </c>
      <c r="L2" s="53">
        <v>0.26041666666666669</v>
      </c>
      <c r="M2" s="53">
        <v>0.44791666666666669</v>
      </c>
      <c r="N2" s="44" t="s">
        <v>20</v>
      </c>
      <c r="O2" s="1" t="s">
        <v>17</v>
      </c>
      <c r="P2">
        <f>IF(O2="OFF",0,IF(VALUE(LEFT(O2,2))&lt;12,0,1))</f>
        <v>0</v>
      </c>
      <c r="R2" t="str">
        <f>Table2[[#This Row],[Name]]</f>
        <v>Aireen Balanon</v>
      </c>
      <c r="S2" t="str">
        <f>IFERROR(TEXT(TIMEVALUE(LEFT(Table2[[#This Row],[Monday]],5)),"h:mm AM/PM")&amp;" - "&amp;TEXT(TIMEVALUE(RIGHT(Table2[[#This Row],[Monday]],5)),"h:mm AM/PM"),"OFF")</f>
        <v>1:00 am - 12:00 pm</v>
      </c>
      <c r="T2" t="str">
        <f>IFERROR(TEXT(TIMEVALUE(LEFT(Table2[[#This Row],[Tuesday]],5)),"h:mm AM/PM")&amp;" - "&amp;TEXT(TIMEVALUE(RIGHT(Table2[[#This Row],[Tuesday]],5)),"h:mm AM/PM"),"OFF")</f>
        <v>1:00 am - 12:00 pm</v>
      </c>
      <c r="U2" t="str">
        <f>IFERROR(TEXT(TIMEVALUE(LEFT(Table2[[#This Row],[Wednesday]],5)),"h:mm AM/PM")&amp;" - "&amp;TEXT(TIMEVALUE(RIGHT(Table2[[#This Row],[Wednesday]],5)),"h:mm AM/PM"),"OFF")</f>
        <v>OFF</v>
      </c>
      <c r="V2" t="str">
        <f>IFERROR(TEXT(TIMEVALUE(LEFT(Table2[[#This Row],[Thursday]],5)),"h:mm AM/PM")&amp;" - "&amp;TEXT(TIMEVALUE(RIGHT(Table2[[#This Row],[Thursday]],5)),"h:mm AM/PM"),"OFF")</f>
        <v>OFF</v>
      </c>
      <c r="W2" t="str">
        <f>IFERROR(TEXT(TIMEVALUE(LEFT(Table2[[#This Row],[Friday]],5)),"h:mm AM/PM")&amp;" - "&amp;TEXT(TIMEVALUE(RIGHT(Table2[[#This Row],[Friday]],5)),"h:mm AM/PM"),"OFF")</f>
        <v>OFF</v>
      </c>
      <c r="X2" t="str">
        <f>IFERROR(TEXT(TIMEVALUE(LEFT(Table2[[#This Row],[Saturday]],5)),"h:mm AM/PM")&amp;" - "&amp;TEXT(TIMEVALUE(RIGHT(Table2[[#This Row],[Saturday]],5)),"h:mm AM/PM"),"OFF")</f>
        <v>1:00 am - 12:00 pm</v>
      </c>
      <c r="Y2" t="str">
        <f>IFERROR(TEXT(TIMEVALUE(LEFT(Table2[[#This Row],[Sunday]],5)),"h:mm AM/PM")&amp;" - "&amp;TEXT(TIMEVALUE(RIGHT(Table2[[#This Row],[Sunday]],5)),"h:mm AM/PM"),"OFF")</f>
        <v>1:00 am - 12:00 pm</v>
      </c>
      <c r="Z2" t="str">
        <f>_xlfn.TEXTJOIN(" - ",TRUE,
IF(S2="OFF","Mon",""),
IF(T2="OFF","Tue",""),
IF(U2="OFF","Wed",""),
IF(V2="OFF","Thu",""),
IF(W2="OFF","Fri",""),
IF(X2="OFF","Sat",""),
IF(Y2="OFF","Sun",""))</f>
        <v>Wed - Thu - Fri</v>
      </c>
      <c r="AA2" s="37">
        <f>Table2[[#This Row],[Break 1]]</f>
        <v>0.125</v>
      </c>
      <c r="AB2" s="37">
        <f>Table2[[#This Row],[Break 2]]</f>
        <v>0.35416666666666669</v>
      </c>
      <c r="AC2" s="37">
        <f>Table2[[#This Row],[Lunch]]</f>
        <v>0.26041666666666669</v>
      </c>
      <c r="AD2" s="37">
        <f>Table2[[#This Row],[Break 3]]</f>
        <v>0.44791666666666669</v>
      </c>
      <c r="AE2" t="str">
        <f>Table2[[#This Row],[Supervisor]]</f>
        <v>Remmo Panaligan</v>
      </c>
      <c r="AF2" t="str">
        <f>IFERROR(TEXT(TIMEVALUE(LEFT(Table2[[#This Row],[EST SHIFT]],5)),"h:mm AM/PM")&amp;" - "&amp;TEXT(TIMEVALUE(RIGHT(Table2[[#This Row],[EST SHIFT]],5)),"h:mm AM/PM"),"OFF")</f>
        <v>1:00 am - 12:00 pm</v>
      </c>
      <c r="AG2">
        <f>IF(AF2="OFF",0,IF(ISNUMBER(SEARCH("pm",LEFT(AF2,FIND(" - ",AF2)-1))),1,0))</f>
        <v>0</v>
      </c>
    </row>
    <row r="3" spans="1:33" x14ac:dyDescent="0.25">
      <c r="A3" s="6" t="s">
        <v>21</v>
      </c>
      <c r="B3" s="1" t="s">
        <v>22</v>
      </c>
      <c r="C3" s="1" t="s">
        <v>22</v>
      </c>
      <c r="D3" s="1" t="s">
        <v>22</v>
      </c>
      <c r="E3" s="1" t="s">
        <v>18</v>
      </c>
      <c r="F3" s="1" t="s">
        <v>18</v>
      </c>
      <c r="G3" s="1" t="s">
        <v>18</v>
      </c>
      <c r="H3" s="1" t="s">
        <v>22</v>
      </c>
      <c r="I3" s="2" t="s">
        <v>23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20</v>
      </c>
      <c r="O3" s="1" t="s">
        <v>22</v>
      </c>
      <c r="P3">
        <f t="shared" ref="P3:P66" si="0">IF(O3="OFF",0,IF(VALUE(LEFT(O3,2))&lt;12,0,1))</f>
        <v>1</v>
      </c>
      <c r="R3" t="str">
        <f>Table2[[#This Row],[Name]]</f>
        <v>Alec Christian Palabay</v>
      </c>
      <c r="S3" t="str">
        <f t="shared" ref="S2:S9" si="1">IFERROR(TEXT(TIMEVALUE(LEFT(B3,5)),"h:mm AM/PM")&amp;" - "&amp;TEXT(TIMEVALUE(RIGHT(B3,5)),"h:mm AM/PM"),"OFF")</f>
        <v>1:00 pm - 12:00 am</v>
      </c>
      <c r="T3" t="str">
        <f>IFERROR(TEXT(TIMEVALUE(LEFT(Table2[[#This Row],[Tuesday]],5)),"h:mm AM/PM")&amp;" - "&amp;TEXT(TIMEVALUE(RIGHT(Table2[[#This Row],[Tuesday]],5)),"h:mm AM/PM"),"OFF")</f>
        <v>1:00 pm - 12:00 am</v>
      </c>
      <c r="U3" t="str">
        <f>IFERROR(TEXT(TIMEVALUE(LEFT(Table2[[#This Row],[Wednesday]],5)),"h:mm AM/PM")&amp;" - "&amp;TEXT(TIMEVALUE(RIGHT(Table2[[#This Row],[Wednesday]],5)),"h:mm AM/PM"),"OFF")</f>
        <v>1:00 pm - 12:00 am</v>
      </c>
      <c r="V3" t="str">
        <f>IFERROR(TEXT(TIMEVALUE(LEFT(Table2[[#This Row],[Thursday]],5)),"h:mm AM/PM")&amp;" - "&amp;TEXT(TIMEVALUE(RIGHT(Table2[[#This Row],[Thursday]],5)),"h:mm AM/PM"),"OFF")</f>
        <v>OFF</v>
      </c>
      <c r="W3" t="str">
        <f>IFERROR(TEXT(TIMEVALUE(LEFT(Table2[[#This Row],[Friday]],5)),"h:mm AM/PM")&amp;" - "&amp;TEXT(TIMEVALUE(RIGHT(Table2[[#This Row],[Friday]],5)),"h:mm AM/PM"),"OFF")</f>
        <v>OFF</v>
      </c>
      <c r="X3" t="str">
        <f>IFERROR(TEXT(TIMEVALUE(LEFT(Table2[[#This Row],[Saturday]],5)),"h:mm AM/PM")&amp;" - "&amp;TEXT(TIMEVALUE(RIGHT(Table2[[#This Row],[Saturday]],5)),"h:mm AM/PM"),"OFF")</f>
        <v>OFF</v>
      </c>
      <c r="Y3" t="str">
        <f>IFERROR(TEXT(TIMEVALUE(LEFT(Table2[[#This Row],[Sunday]],5)),"h:mm AM/PM")&amp;" - "&amp;TEXT(TIMEVALUE(RIGHT(Table2[[#This Row],[Sunday]],5)),"h:mm AM/PM"),"OFF")</f>
        <v>1:00 pm - 12:00 am</v>
      </c>
      <c r="Z3" t="str">
        <f t="shared" ref="Z3:Z66" si="2">_xlfn.TEXTJOIN(" - ",TRUE,
IF(S3="OFF","Mon",""),
IF(T3="OFF","Tue",""),
IF(U3="OFF","Wed",""),
IF(V3="OFF","Thu",""),
IF(W3="OFF","Fri",""),
IF(X3="OFF","Sat",""),
IF(Y3="OFF","Sun",""))</f>
        <v>Thu - Fri - Sat</v>
      </c>
      <c r="AA3" s="37">
        <f>Table2[[#This Row],[Break 1]]</f>
        <v>0.61458333333333337</v>
      </c>
      <c r="AB3" s="37">
        <f>Table2[[#This Row],[Break 2]]</f>
        <v>0.8125</v>
      </c>
      <c r="AC3" s="37">
        <f>Table2[[#This Row],[Lunch]]</f>
        <v>0.6875</v>
      </c>
      <c r="AD3" s="37">
        <f>Table2[[#This Row],[Break 3]]</f>
        <v>0.91666666666666663</v>
      </c>
      <c r="AE3" t="str">
        <f>Table2[[#This Row],[Supervisor]]</f>
        <v>Remmo Panaligan</v>
      </c>
      <c r="AF3" t="str">
        <f>IFERROR(TEXT(TIMEVALUE(LEFT(Table2[[#This Row],[EST SHIFT]],5)),"h:mm AM/PM")&amp;" - "&amp;TEXT(TIMEVALUE(RIGHT(Table2[[#This Row],[EST SHIFT]],5)),"h:mm AM/PM"),"OFF")</f>
        <v>1:00 pm - 12:00 am</v>
      </c>
      <c r="AG3">
        <f>IF(AF3="OFF",0,IF(ISNUMBER(SEARCH("pm",LEFT(AF3,FIND(" - ",AF3)-1))),1,0))</f>
        <v>1</v>
      </c>
    </row>
    <row r="4" spans="1:33" x14ac:dyDescent="0.25">
      <c r="A4" s="6" t="s">
        <v>24</v>
      </c>
      <c r="B4" s="1" t="s">
        <v>25</v>
      </c>
      <c r="C4" s="1" t="s">
        <v>25</v>
      </c>
      <c r="D4" s="1" t="s">
        <v>25</v>
      </c>
      <c r="E4" s="1" t="s">
        <v>18</v>
      </c>
      <c r="F4" s="1" t="s">
        <v>25</v>
      </c>
      <c r="G4" s="1" t="s">
        <v>18</v>
      </c>
      <c r="H4" s="1" t="s">
        <v>18</v>
      </c>
      <c r="I4" s="2" t="s">
        <v>26</v>
      </c>
      <c r="J4" s="3">
        <v>0.39583333333333331</v>
      </c>
      <c r="K4" s="3">
        <v>0.60416666666666663</v>
      </c>
      <c r="L4" s="3">
        <v>0.47916666666666669</v>
      </c>
      <c r="M4" s="3">
        <v>0.73958333333333337</v>
      </c>
      <c r="N4" s="4" t="s">
        <v>27</v>
      </c>
      <c r="O4" s="1" t="s">
        <v>25</v>
      </c>
      <c r="P4">
        <f t="shared" si="0"/>
        <v>0</v>
      </c>
      <c r="R4" t="str">
        <f>Table2[[#This Row],[Name]]</f>
        <v>Andrei Mark Llenos</v>
      </c>
      <c r="S4" t="str">
        <f t="shared" si="1"/>
        <v>8:00 am - 7:00 pm</v>
      </c>
      <c r="T4" t="str">
        <f>IFERROR(TEXT(TIMEVALUE(LEFT(Table2[[#This Row],[Tuesday]],5)),"h:mm AM/PM")&amp;" - "&amp;TEXT(TIMEVALUE(RIGHT(Table2[[#This Row],[Tuesday]],5)),"h:mm AM/PM"),"OFF")</f>
        <v>8:00 am - 7:00 pm</v>
      </c>
      <c r="U4" t="str">
        <f>IFERROR(TEXT(TIMEVALUE(LEFT(Table2[[#This Row],[Wednesday]],5)),"h:mm AM/PM")&amp;" - "&amp;TEXT(TIMEVALUE(RIGHT(Table2[[#This Row],[Wednesday]],5)),"h:mm AM/PM"),"OFF")</f>
        <v>8:00 am - 7:00 pm</v>
      </c>
      <c r="V4" t="str">
        <f>IFERROR(TEXT(TIMEVALUE(LEFT(Table2[[#This Row],[Thursday]],5)),"h:mm AM/PM")&amp;" - "&amp;TEXT(TIMEVALUE(RIGHT(Table2[[#This Row],[Thursday]],5)),"h:mm AM/PM"),"OFF")</f>
        <v>OFF</v>
      </c>
      <c r="W4" t="str">
        <f>IFERROR(TEXT(TIMEVALUE(LEFT(Table2[[#This Row],[Friday]],5)),"h:mm AM/PM")&amp;" - "&amp;TEXT(TIMEVALUE(RIGHT(Table2[[#This Row],[Friday]],5)),"h:mm AM/PM"),"OFF")</f>
        <v>8:00 am - 7:00 pm</v>
      </c>
      <c r="X4" t="str">
        <f>IFERROR(TEXT(TIMEVALUE(LEFT(Table2[[#This Row],[Saturday]],5)),"h:mm AM/PM")&amp;" - "&amp;TEXT(TIMEVALUE(RIGHT(Table2[[#This Row],[Saturday]],5)),"h:mm AM/PM"),"OFF")</f>
        <v>OFF</v>
      </c>
      <c r="Y4" t="str">
        <f>IFERROR(TEXT(TIMEVALUE(LEFT(Table2[[#This Row],[Sunday]],5)),"h:mm AM/PM")&amp;" - "&amp;TEXT(TIMEVALUE(RIGHT(Table2[[#This Row],[Sunday]],5)),"h:mm AM/PM"),"OFF")</f>
        <v>OFF</v>
      </c>
      <c r="Z4" t="str">
        <f t="shared" si="2"/>
        <v>Thu - Sat - Sun</v>
      </c>
      <c r="AA4" s="37">
        <f>Table2[[#This Row],[Break 1]]</f>
        <v>0.39583333333333331</v>
      </c>
      <c r="AB4" s="37">
        <f>Table2[[#This Row],[Break 2]]</f>
        <v>0.60416666666666663</v>
      </c>
      <c r="AC4" s="37">
        <f>Table2[[#This Row],[Lunch]]</f>
        <v>0.47916666666666669</v>
      </c>
      <c r="AD4" s="37">
        <f>Table2[[#This Row],[Break 3]]</f>
        <v>0.73958333333333337</v>
      </c>
      <c r="AE4" t="str">
        <f>Table2[[#This Row],[Supervisor]]</f>
        <v>Manilyn Abellar</v>
      </c>
      <c r="AF4" t="str">
        <f>IFERROR(TEXT(TIMEVALUE(LEFT(Table2[[#This Row],[EST SHIFT]],5)),"h:mm AM/PM")&amp;" - "&amp;TEXT(TIMEVALUE(RIGHT(Table2[[#This Row],[EST SHIFT]],5)),"h:mm AM/PM"),"OFF")</f>
        <v>8:00 am - 7:00 pm</v>
      </c>
      <c r="AG4">
        <f t="shared" ref="AG4:AG66" si="3">IF(AF4="OFF",0,IF(ISNUMBER(SEARCH("pm",LEFT(AF4,FIND(" - ",AF4)-1))),1,0))</f>
        <v>0</v>
      </c>
    </row>
    <row r="5" spans="1:33" x14ac:dyDescent="0.25">
      <c r="A5" s="6" t="s">
        <v>28</v>
      </c>
      <c r="B5" s="1" t="s">
        <v>29</v>
      </c>
      <c r="C5" s="1" t="s">
        <v>29</v>
      </c>
      <c r="D5" s="1" t="s">
        <v>29</v>
      </c>
      <c r="E5" s="1" t="s">
        <v>29</v>
      </c>
      <c r="F5" s="1" t="s">
        <v>18</v>
      </c>
      <c r="G5" s="1" t="s">
        <v>18</v>
      </c>
      <c r="H5" s="1" t="s">
        <v>18</v>
      </c>
      <c r="I5" s="2" t="s">
        <v>30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27</v>
      </c>
      <c r="O5" s="1" t="s">
        <v>29</v>
      </c>
      <c r="P5">
        <f t="shared" si="0"/>
        <v>0</v>
      </c>
      <c r="R5" t="str">
        <f>Table2[[#This Row],[Name]]</f>
        <v>Antonio Agda</v>
      </c>
      <c r="S5" t="str">
        <f t="shared" si="1"/>
        <v>7:30 am - 6:30 pm</v>
      </c>
      <c r="T5" t="str">
        <f>IFERROR(TEXT(TIMEVALUE(LEFT(Table2[[#This Row],[Tuesday]],5)),"h:mm AM/PM")&amp;" - "&amp;TEXT(TIMEVALUE(RIGHT(Table2[[#This Row],[Tuesday]],5)),"h:mm AM/PM"),"OFF")</f>
        <v>7:30 am - 6:30 pm</v>
      </c>
      <c r="U5" t="str">
        <f>IFERROR(TEXT(TIMEVALUE(LEFT(Table2[[#This Row],[Wednesday]],5)),"h:mm AM/PM")&amp;" - "&amp;TEXT(TIMEVALUE(RIGHT(Table2[[#This Row],[Wednesday]],5)),"h:mm AM/PM"),"OFF")</f>
        <v>7:30 am - 6:30 pm</v>
      </c>
      <c r="V5" t="str">
        <f>IFERROR(TEXT(TIMEVALUE(LEFT(Table2[[#This Row],[Thursday]],5)),"h:mm AM/PM")&amp;" - "&amp;TEXT(TIMEVALUE(RIGHT(Table2[[#This Row],[Thursday]],5)),"h:mm AM/PM"),"OFF")</f>
        <v>7:30 am - 6:30 pm</v>
      </c>
      <c r="W5" t="str">
        <f>IFERROR(TEXT(TIMEVALUE(LEFT(Table2[[#This Row],[Friday]],5)),"h:mm AM/PM")&amp;" - "&amp;TEXT(TIMEVALUE(RIGHT(Table2[[#This Row],[Friday]],5)),"h:mm AM/PM"),"OFF")</f>
        <v>OFF</v>
      </c>
      <c r="X5" t="str">
        <f>IFERROR(TEXT(TIMEVALUE(LEFT(Table2[[#This Row],[Saturday]],5)),"h:mm AM/PM")&amp;" - "&amp;TEXT(TIMEVALUE(RIGHT(Table2[[#This Row],[Saturday]],5)),"h:mm AM/PM"),"OFF")</f>
        <v>OFF</v>
      </c>
      <c r="Y5" t="str">
        <f>IFERROR(TEXT(TIMEVALUE(LEFT(Table2[[#This Row],[Sunday]],5)),"h:mm AM/PM")&amp;" - "&amp;TEXT(TIMEVALUE(RIGHT(Table2[[#This Row],[Sunday]],5)),"h:mm AM/PM"),"OFF")</f>
        <v>OFF</v>
      </c>
      <c r="Z5" t="str">
        <f t="shared" si="2"/>
        <v>Fri - Sat - Sun</v>
      </c>
      <c r="AA5" s="37">
        <f>Table2[[#This Row],[Break 1]]</f>
        <v>0.38541666666666669</v>
      </c>
      <c r="AB5" s="37">
        <f>Table2[[#This Row],[Break 2]]</f>
        <v>0.61458333333333337</v>
      </c>
      <c r="AC5" s="37">
        <f>Table2[[#This Row],[Lunch]]</f>
        <v>0.46875</v>
      </c>
      <c r="AD5" s="37">
        <f>Table2[[#This Row],[Break 3]]</f>
        <v>0.71875</v>
      </c>
      <c r="AE5" t="str">
        <f>Table2[[#This Row],[Supervisor]]</f>
        <v>Manilyn Abellar</v>
      </c>
      <c r="AF5" t="str">
        <f>IFERROR(TEXT(TIMEVALUE(LEFT(Table2[[#This Row],[EST SHIFT]],5)),"h:mm AM/PM")&amp;" - "&amp;TEXT(TIMEVALUE(RIGHT(Table2[[#This Row],[EST SHIFT]],5)),"h:mm AM/PM"),"OFF")</f>
        <v>7:30 am - 6:30 pm</v>
      </c>
      <c r="AG5">
        <f t="shared" si="3"/>
        <v>0</v>
      </c>
    </row>
    <row r="6" spans="1:33" x14ac:dyDescent="0.25">
      <c r="A6" s="6" t="s">
        <v>31</v>
      </c>
      <c r="B6" s="1" t="s">
        <v>18</v>
      </c>
      <c r="C6" s="1" t="s">
        <v>18</v>
      </c>
      <c r="D6" s="1" t="s">
        <v>18</v>
      </c>
      <c r="E6" s="5" t="s">
        <v>32</v>
      </c>
      <c r="F6" s="5" t="s">
        <v>32</v>
      </c>
      <c r="G6" s="5" t="s">
        <v>32</v>
      </c>
      <c r="H6" s="5" t="s">
        <v>32</v>
      </c>
      <c r="I6" s="2" t="s">
        <v>33</v>
      </c>
      <c r="J6" s="3">
        <v>0.92708333333333337</v>
      </c>
      <c r="K6" s="3">
        <v>1.0416666666666666E-2</v>
      </c>
      <c r="L6" s="3">
        <v>0.1875</v>
      </c>
      <c r="M6" s="3">
        <v>0.10416666666666667</v>
      </c>
      <c r="N6" s="4" t="s">
        <v>34</v>
      </c>
      <c r="O6" s="5" t="s">
        <v>32</v>
      </c>
      <c r="P6">
        <f t="shared" si="0"/>
        <v>1</v>
      </c>
      <c r="R6" t="str">
        <f>Table2[[#This Row],[Name]]</f>
        <v>Aysha Sagira Macalandong</v>
      </c>
      <c r="S6" t="str">
        <f t="shared" si="1"/>
        <v>OFF</v>
      </c>
      <c r="T6" t="str">
        <f>IFERROR(TEXT(TIMEVALUE(LEFT(Table2[[#This Row],[Tuesday]],5)),"h:mm AM/PM")&amp;" - "&amp;TEXT(TIMEVALUE(RIGHT(Table2[[#This Row],[Tuesday]],5)),"h:mm AM/PM"),"OFF")</f>
        <v>OFF</v>
      </c>
      <c r="U6" t="str">
        <f>IFERROR(TEXT(TIMEVALUE(LEFT(Table2[[#This Row],[Wednesday]],5)),"h:mm AM/PM")&amp;" - "&amp;TEXT(TIMEVALUE(RIGHT(Table2[[#This Row],[Wednesday]],5)),"h:mm AM/PM"),"OFF")</f>
        <v>OFF</v>
      </c>
      <c r="V6" t="str">
        <f>IFERROR(TEXT(TIMEVALUE(LEFT(Table2[[#This Row],[Thursday]],5)),"h:mm AM/PM")&amp;" - "&amp;TEXT(TIMEVALUE(RIGHT(Table2[[#This Row],[Thursday]],5)),"h:mm AM/PM"),"OFF")</f>
        <v>8:00 pm - 7:00 am</v>
      </c>
      <c r="W6" t="str">
        <f>IFERROR(TEXT(TIMEVALUE(LEFT(Table2[[#This Row],[Friday]],5)),"h:mm AM/PM")&amp;" - "&amp;TEXT(TIMEVALUE(RIGHT(Table2[[#This Row],[Friday]],5)),"h:mm AM/PM"),"OFF")</f>
        <v>8:00 pm - 7:00 am</v>
      </c>
      <c r="X6" t="str">
        <f>IFERROR(TEXT(TIMEVALUE(LEFT(Table2[[#This Row],[Saturday]],5)),"h:mm AM/PM")&amp;" - "&amp;TEXT(TIMEVALUE(RIGHT(Table2[[#This Row],[Saturday]],5)),"h:mm AM/PM"),"OFF")</f>
        <v>8:00 pm - 7:00 am</v>
      </c>
      <c r="Y6" t="str">
        <f>IFERROR(TEXT(TIMEVALUE(LEFT(Table2[[#This Row],[Sunday]],5)),"h:mm AM/PM")&amp;" - "&amp;TEXT(TIMEVALUE(RIGHT(Table2[[#This Row],[Sunday]],5)),"h:mm AM/PM"),"OFF")</f>
        <v>8:00 pm - 7:00 am</v>
      </c>
      <c r="Z6" t="str">
        <f t="shared" si="2"/>
        <v>Mon - Tue - Wed</v>
      </c>
      <c r="AA6" s="37">
        <f>Table2[[#This Row],[Break 1]]</f>
        <v>0.92708333333333337</v>
      </c>
      <c r="AB6" s="37">
        <f>Table2[[#This Row],[Break 2]]</f>
        <v>1.0416666666666666E-2</v>
      </c>
      <c r="AC6" s="37">
        <f>Table2[[#This Row],[Lunch]]</f>
        <v>0.1875</v>
      </c>
      <c r="AD6" s="37">
        <f>Table2[[#This Row],[Break 3]]</f>
        <v>0.10416666666666667</v>
      </c>
      <c r="AE6" t="str">
        <f>Table2[[#This Row],[Supervisor]]</f>
        <v>Michael Dominguez</v>
      </c>
      <c r="AF6" t="str">
        <f>IFERROR(TEXT(TIMEVALUE(LEFT(Table2[[#This Row],[EST SHIFT]],5)),"h:mm AM/PM")&amp;" - "&amp;TEXT(TIMEVALUE(RIGHT(Table2[[#This Row],[EST SHIFT]],5)),"h:mm AM/PM"),"OFF")</f>
        <v>8:00 pm - 7:00 am</v>
      </c>
      <c r="AG6">
        <f t="shared" si="3"/>
        <v>1</v>
      </c>
    </row>
    <row r="7" spans="1:33" s="14" customFormat="1" x14ac:dyDescent="0.25">
      <c r="A7" s="6" t="s">
        <v>35</v>
      </c>
      <c r="B7" s="1" t="s">
        <v>18</v>
      </c>
      <c r="C7" s="1" t="s">
        <v>18</v>
      </c>
      <c r="D7" s="1" t="s">
        <v>36</v>
      </c>
      <c r="E7" s="1" t="s">
        <v>36</v>
      </c>
      <c r="F7" s="1" t="s">
        <v>36</v>
      </c>
      <c r="G7" s="1" t="s">
        <v>36</v>
      </c>
      <c r="H7" s="1" t="s">
        <v>18</v>
      </c>
      <c r="I7" s="2" t="s">
        <v>37</v>
      </c>
      <c r="J7" s="3">
        <v>0.45833333333333331</v>
      </c>
      <c r="K7" s="3">
        <v>0.55208333333333337</v>
      </c>
      <c r="L7" s="3">
        <v>0.6875</v>
      </c>
      <c r="M7" s="3">
        <v>0.78125</v>
      </c>
      <c r="N7" s="4" t="s">
        <v>38</v>
      </c>
      <c r="O7" s="1" t="s">
        <v>36</v>
      </c>
      <c r="P7">
        <f t="shared" si="0"/>
        <v>0</v>
      </c>
      <c r="Q7"/>
      <c r="R7" t="str">
        <f>Table2[[#This Row],[Name]]</f>
        <v>Azilean Khrista Almazan</v>
      </c>
      <c r="S7" t="str">
        <f t="shared" si="1"/>
        <v>OFF</v>
      </c>
      <c r="T7" t="str">
        <f>IFERROR(TEXT(TIMEVALUE(LEFT(Table2[[#This Row],[Tuesday]],5)),"h:mm AM/PM")&amp;" - "&amp;TEXT(TIMEVALUE(RIGHT(Table2[[#This Row],[Tuesday]],5)),"h:mm AM/PM"),"OFF")</f>
        <v>OFF</v>
      </c>
      <c r="U7" t="str">
        <f>IFERROR(TEXT(TIMEVALUE(LEFT(Table2[[#This Row],[Wednesday]],5)),"h:mm AM/PM")&amp;" - "&amp;TEXT(TIMEVALUE(RIGHT(Table2[[#This Row],[Wednesday]],5)),"h:mm AM/PM"),"OFF")</f>
        <v>9:00 am - 8:00 pm</v>
      </c>
      <c r="V7" t="str">
        <f>IFERROR(TEXT(TIMEVALUE(LEFT(Table2[[#This Row],[Thursday]],5)),"h:mm AM/PM")&amp;" - "&amp;TEXT(TIMEVALUE(RIGHT(Table2[[#This Row],[Thursday]],5)),"h:mm AM/PM"),"OFF")</f>
        <v>9:00 am - 8:00 pm</v>
      </c>
      <c r="W7" t="str">
        <f>IFERROR(TEXT(TIMEVALUE(LEFT(Table2[[#This Row],[Friday]],5)),"h:mm AM/PM")&amp;" - "&amp;TEXT(TIMEVALUE(RIGHT(Table2[[#This Row],[Friday]],5)),"h:mm AM/PM"),"OFF")</f>
        <v>9:00 am - 8:00 pm</v>
      </c>
      <c r="X7" t="str">
        <f>IFERROR(TEXT(TIMEVALUE(LEFT(Table2[[#This Row],[Saturday]],5)),"h:mm AM/PM")&amp;" - "&amp;TEXT(TIMEVALUE(RIGHT(Table2[[#This Row],[Saturday]],5)),"h:mm AM/PM"),"OFF")</f>
        <v>9:00 am - 8:00 pm</v>
      </c>
      <c r="Y7" t="str">
        <f>IFERROR(TEXT(TIMEVALUE(LEFT(Table2[[#This Row],[Sunday]],5)),"h:mm AM/PM")&amp;" - "&amp;TEXT(TIMEVALUE(RIGHT(Table2[[#This Row],[Sunday]],5)),"h:mm AM/PM"),"OFF")</f>
        <v>OFF</v>
      </c>
      <c r="Z7" t="str">
        <f t="shared" si="2"/>
        <v>Mon - Tue - Sun</v>
      </c>
      <c r="AA7" s="37">
        <f>Table2[[#This Row],[Break 1]]</f>
        <v>0.45833333333333331</v>
      </c>
      <c r="AB7" s="37">
        <f>Table2[[#This Row],[Break 2]]</f>
        <v>0.55208333333333337</v>
      </c>
      <c r="AC7" s="37">
        <f>Table2[[#This Row],[Lunch]]</f>
        <v>0.6875</v>
      </c>
      <c r="AD7" s="37">
        <f>Table2[[#This Row],[Break 3]]</f>
        <v>0.78125</v>
      </c>
      <c r="AE7" t="str">
        <f>Table2[[#This Row],[Supervisor]]</f>
        <v>Anmecha Valencia</v>
      </c>
      <c r="AF7" t="str">
        <f>IFERROR(TEXT(TIMEVALUE(LEFT(Table2[[#This Row],[EST SHIFT]],5)),"h:mm AM/PM")&amp;" - "&amp;TEXT(TIMEVALUE(RIGHT(Table2[[#This Row],[EST SHIFT]],5)),"h:mm AM/PM"),"OFF")</f>
        <v>9:00 am - 8:00 pm</v>
      </c>
      <c r="AG7">
        <f t="shared" si="3"/>
        <v>0</v>
      </c>
    </row>
    <row r="8" spans="1:33" x14ac:dyDescent="0.25">
      <c r="A8" s="6" t="s">
        <v>39</v>
      </c>
      <c r="B8" s="1" t="s">
        <v>36</v>
      </c>
      <c r="C8" s="1" t="s">
        <v>36</v>
      </c>
      <c r="D8" s="1" t="s">
        <v>36</v>
      </c>
      <c r="E8" s="1" t="s">
        <v>18</v>
      </c>
      <c r="F8" s="1" t="s">
        <v>36</v>
      </c>
      <c r="G8" s="1" t="s">
        <v>18</v>
      </c>
      <c r="H8" s="1" t="s">
        <v>18</v>
      </c>
      <c r="I8" s="2" t="s">
        <v>26</v>
      </c>
      <c r="J8" s="3">
        <v>0.47916666666666669</v>
      </c>
      <c r="K8" s="3">
        <v>0.625</v>
      </c>
      <c r="L8" s="3">
        <v>0.55208333333333337</v>
      </c>
      <c r="M8" s="3">
        <v>0.77083333333333337</v>
      </c>
      <c r="N8" s="4" t="s">
        <v>34</v>
      </c>
      <c r="O8" s="1" t="s">
        <v>36</v>
      </c>
      <c r="P8">
        <f t="shared" si="0"/>
        <v>0</v>
      </c>
      <c r="R8" t="str">
        <f>Table2[[#This Row],[Name]]</f>
        <v>Benedict Ermitano</v>
      </c>
      <c r="S8" t="str">
        <f t="shared" si="1"/>
        <v>9:00 am - 8:00 pm</v>
      </c>
      <c r="T8" t="str">
        <f>IFERROR(TEXT(TIMEVALUE(LEFT(Table2[[#This Row],[Tuesday]],5)),"h:mm AM/PM")&amp;" - "&amp;TEXT(TIMEVALUE(RIGHT(Table2[[#This Row],[Tuesday]],5)),"h:mm AM/PM"),"OFF")</f>
        <v>9:00 am - 8:00 pm</v>
      </c>
      <c r="U8" t="str">
        <f>IFERROR(TEXT(TIMEVALUE(LEFT(Table2[[#This Row],[Wednesday]],5)),"h:mm AM/PM")&amp;" - "&amp;TEXT(TIMEVALUE(RIGHT(Table2[[#This Row],[Wednesday]],5)),"h:mm AM/PM"),"OFF")</f>
        <v>9:00 am - 8:00 pm</v>
      </c>
      <c r="V8" t="str">
        <f>IFERROR(TEXT(TIMEVALUE(LEFT(Table2[[#This Row],[Thursday]],5)),"h:mm AM/PM")&amp;" - "&amp;TEXT(TIMEVALUE(RIGHT(Table2[[#This Row],[Thursday]],5)),"h:mm AM/PM"),"OFF")</f>
        <v>OFF</v>
      </c>
      <c r="W8" t="str">
        <f>IFERROR(TEXT(TIMEVALUE(LEFT(Table2[[#This Row],[Friday]],5)),"h:mm AM/PM")&amp;" - "&amp;TEXT(TIMEVALUE(RIGHT(Table2[[#This Row],[Friday]],5)),"h:mm AM/PM"),"OFF")</f>
        <v>9:00 am - 8:00 pm</v>
      </c>
      <c r="X8" t="str">
        <f>IFERROR(TEXT(TIMEVALUE(LEFT(Table2[[#This Row],[Saturday]],5)),"h:mm AM/PM")&amp;" - "&amp;TEXT(TIMEVALUE(RIGHT(Table2[[#This Row],[Saturday]],5)),"h:mm AM/PM"),"OFF")</f>
        <v>OFF</v>
      </c>
      <c r="Y8" t="str">
        <f>IFERROR(TEXT(TIMEVALUE(LEFT(Table2[[#This Row],[Sunday]],5)),"h:mm AM/PM")&amp;" - "&amp;TEXT(TIMEVALUE(RIGHT(Table2[[#This Row],[Sunday]],5)),"h:mm AM/PM"),"OFF")</f>
        <v>OFF</v>
      </c>
      <c r="Z8" t="str">
        <f t="shared" si="2"/>
        <v>Thu - Sat - Sun</v>
      </c>
      <c r="AA8" s="37">
        <f>Table2[[#This Row],[Break 1]]</f>
        <v>0.47916666666666669</v>
      </c>
      <c r="AB8" s="37">
        <f>Table2[[#This Row],[Break 2]]</f>
        <v>0.625</v>
      </c>
      <c r="AC8" s="37">
        <f>Table2[[#This Row],[Lunch]]</f>
        <v>0.55208333333333337</v>
      </c>
      <c r="AD8" s="37">
        <f>Table2[[#This Row],[Break 3]]</f>
        <v>0.77083333333333337</v>
      </c>
      <c r="AE8" t="str">
        <f>Table2[[#This Row],[Supervisor]]</f>
        <v>Michael Dominguez</v>
      </c>
      <c r="AF8" t="str">
        <f>IFERROR(TEXT(TIMEVALUE(LEFT(Table2[[#This Row],[EST SHIFT]],5)),"h:mm AM/PM")&amp;" - "&amp;TEXT(TIMEVALUE(RIGHT(Table2[[#This Row],[EST SHIFT]],5)),"h:mm AM/PM"),"OFF")</f>
        <v>9:00 am - 8:00 pm</v>
      </c>
      <c r="AG8">
        <f t="shared" si="3"/>
        <v>0</v>
      </c>
    </row>
    <row r="9" spans="1:33" x14ac:dyDescent="0.25">
      <c r="A9" s="6" t="s">
        <v>40</v>
      </c>
      <c r="B9" s="1" t="s">
        <v>36</v>
      </c>
      <c r="C9" s="1" t="s">
        <v>18</v>
      </c>
      <c r="D9" s="1" t="s">
        <v>18</v>
      </c>
      <c r="E9" s="1" t="s">
        <v>18</v>
      </c>
      <c r="F9" s="1" t="s">
        <v>36</v>
      </c>
      <c r="G9" s="1" t="s">
        <v>36</v>
      </c>
      <c r="H9" s="1" t="s">
        <v>36</v>
      </c>
      <c r="I9" s="2" t="s">
        <v>41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42</v>
      </c>
      <c r="O9" s="1" t="s">
        <v>36</v>
      </c>
      <c r="P9">
        <f t="shared" si="0"/>
        <v>0</v>
      </c>
      <c r="R9" t="str">
        <f>Table2[[#This Row],[Name]]</f>
        <v>Carlos Kiamco</v>
      </c>
      <c r="S9" t="str">
        <f t="shared" si="1"/>
        <v>9:00 am - 8:00 pm</v>
      </c>
      <c r="T9" t="str">
        <f>IFERROR(TEXT(TIMEVALUE(LEFT(Table2[[#This Row],[Tuesday]],5)),"h:mm AM/PM")&amp;" - "&amp;TEXT(TIMEVALUE(RIGHT(Table2[[#This Row],[Tuesday]],5)),"h:mm AM/PM"),"OFF")</f>
        <v>OFF</v>
      </c>
      <c r="U9" t="str">
        <f>IFERROR(TEXT(TIMEVALUE(LEFT(Table2[[#This Row],[Wednesday]],5)),"h:mm AM/PM")&amp;" - "&amp;TEXT(TIMEVALUE(RIGHT(Table2[[#This Row],[Wednesday]],5)),"h:mm AM/PM"),"OFF")</f>
        <v>OFF</v>
      </c>
      <c r="V9" t="str">
        <f>IFERROR(TEXT(TIMEVALUE(LEFT(Table2[[#This Row],[Thursday]],5)),"h:mm AM/PM")&amp;" - "&amp;TEXT(TIMEVALUE(RIGHT(Table2[[#This Row],[Thursday]],5)),"h:mm AM/PM"),"OFF")</f>
        <v>OFF</v>
      </c>
      <c r="W9" t="str">
        <f>IFERROR(TEXT(TIMEVALUE(LEFT(Table2[[#This Row],[Friday]],5)),"h:mm AM/PM")&amp;" - "&amp;TEXT(TIMEVALUE(RIGHT(Table2[[#This Row],[Friday]],5)),"h:mm AM/PM"),"OFF")</f>
        <v>9:00 am - 8:00 pm</v>
      </c>
      <c r="X9" t="str">
        <f>IFERROR(TEXT(TIMEVALUE(LEFT(Table2[[#This Row],[Saturday]],5)),"h:mm AM/PM")&amp;" - "&amp;TEXT(TIMEVALUE(RIGHT(Table2[[#This Row],[Saturday]],5)),"h:mm AM/PM"),"OFF")</f>
        <v>9:00 am - 8:00 pm</v>
      </c>
      <c r="Y9" t="str">
        <f>IFERROR(TEXT(TIMEVALUE(LEFT(Table2[[#This Row],[Sunday]],5)),"h:mm AM/PM")&amp;" - "&amp;TEXT(TIMEVALUE(RIGHT(Table2[[#This Row],[Sunday]],5)),"h:mm AM/PM"),"OFF")</f>
        <v>9:00 am - 8:00 pm</v>
      </c>
      <c r="Z9" t="str">
        <f t="shared" si="2"/>
        <v>Tue - Wed - Thu</v>
      </c>
      <c r="AA9" s="37">
        <f>Table2[[#This Row],[Break 1]]</f>
        <v>0.58333333333333337</v>
      </c>
      <c r="AB9" s="37">
        <f>Table2[[#This Row],[Break 2]]</f>
        <v>0.67708333333333337</v>
      </c>
      <c r="AC9" s="37">
        <f>Table2[[#This Row],[Lunch]]</f>
        <v>0.45833333333333331</v>
      </c>
      <c r="AD9" s="37">
        <f>Table2[[#This Row],[Break 3]]</f>
        <v>0.77083333333333337</v>
      </c>
      <c r="AE9" t="str">
        <f>Table2[[#This Row],[Supervisor]]</f>
        <v>Christopher Rodas</v>
      </c>
      <c r="AF9" t="str">
        <f>IFERROR(TEXT(TIMEVALUE(LEFT(Table2[[#This Row],[EST SHIFT]],5)),"h:mm AM/PM")&amp;" - "&amp;TEXT(TIMEVALUE(RIGHT(Table2[[#This Row],[EST SHIFT]],5)),"h:mm AM/PM"),"OFF")</f>
        <v>9:00 am - 8:00 pm</v>
      </c>
      <c r="AG9">
        <f t="shared" si="3"/>
        <v>0</v>
      </c>
    </row>
    <row r="10" spans="1:33" x14ac:dyDescent="0.25">
      <c r="A10" s="6" t="s">
        <v>43</v>
      </c>
      <c r="B10" s="1" t="s">
        <v>36</v>
      </c>
      <c r="C10" s="1" t="s">
        <v>18</v>
      </c>
      <c r="D10" s="1" t="s">
        <v>36</v>
      </c>
      <c r="E10" s="1" t="s">
        <v>36</v>
      </c>
      <c r="F10" s="1" t="s">
        <v>36</v>
      </c>
      <c r="G10" s="1" t="s">
        <v>18</v>
      </c>
      <c r="H10" s="1" t="s">
        <v>18</v>
      </c>
      <c r="I10" s="2" t="s">
        <v>44</v>
      </c>
      <c r="J10" s="3">
        <v>0.46875</v>
      </c>
      <c r="K10" s="3">
        <v>0.5625</v>
      </c>
      <c r="L10" s="3">
        <v>0.75</v>
      </c>
      <c r="M10" s="3">
        <v>0.65625</v>
      </c>
      <c r="N10" s="4" t="s">
        <v>38</v>
      </c>
      <c r="O10" s="1" t="s">
        <v>36</v>
      </c>
      <c r="P10">
        <f t="shared" si="0"/>
        <v>0</v>
      </c>
      <c r="R10" t="str">
        <f>Table2[[#This Row],[Name]]</f>
        <v>Charisse Capuno</v>
      </c>
      <c r="S10" t="str">
        <f>IFERROR(TEXT(TIMEVALUE(LEFT(B10,5)),"h:mm AM/PM")&amp;" - "&amp;TEXT(TIMEVALUE(RIGHT(B10,5)),"h:mm AM/PM"),"OFF")</f>
        <v>9:00 am - 8:00 pm</v>
      </c>
      <c r="T10" t="str">
        <f>IFERROR(TEXT(TIMEVALUE(LEFT(Table2[[#This Row],[Tuesday]],5)),"h:mm AM/PM")&amp;" - "&amp;TEXT(TIMEVALUE(RIGHT(Table2[[#This Row],[Tuesday]],5)),"h:mm AM/PM"),"OFF")</f>
        <v>OFF</v>
      </c>
      <c r="U10" t="str">
        <f>IFERROR(TEXT(TIMEVALUE(LEFT(Table2[[#This Row],[Wednesday]],5)),"h:mm AM/PM")&amp;" - "&amp;TEXT(TIMEVALUE(RIGHT(Table2[[#This Row],[Wednesday]],5)),"h:mm AM/PM"),"OFF")</f>
        <v>9:00 am - 8:00 pm</v>
      </c>
      <c r="V10" t="str">
        <f>IFERROR(TEXT(TIMEVALUE(LEFT(Table2[[#This Row],[Thursday]],5)),"h:mm AM/PM")&amp;" - "&amp;TEXT(TIMEVALUE(RIGHT(Table2[[#This Row],[Thursday]],5)),"h:mm AM/PM"),"OFF")</f>
        <v>9:00 am - 8:00 pm</v>
      </c>
      <c r="W10" t="str">
        <f>IFERROR(TEXT(TIMEVALUE(LEFT(Table2[[#This Row],[Friday]],5)),"h:mm AM/PM")&amp;" - "&amp;TEXT(TIMEVALUE(RIGHT(Table2[[#This Row],[Friday]],5)),"h:mm AM/PM"),"OFF")</f>
        <v>9:00 am - 8:00 pm</v>
      </c>
      <c r="X10" t="str">
        <f>IFERROR(TEXT(TIMEVALUE(LEFT(Table2[[#This Row],[Saturday]],5)),"h:mm AM/PM")&amp;" - "&amp;TEXT(TIMEVALUE(RIGHT(Table2[[#This Row],[Saturday]],5)),"h:mm AM/PM"),"OFF")</f>
        <v>OFF</v>
      </c>
      <c r="Y10" t="str">
        <f>IFERROR(TEXT(TIMEVALUE(LEFT(Table2[[#This Row],[Sunday]],5)),"h:mm AM/PM")&amp;" - "&amp;TEXT(TIMEVALUE(RIGHT(Table2[[#This Row],[Sunday]],5)),"h:mm AM/PM"),"OFF")</f>
        <v>OFF</v>
      </c>
      <c r="Z10" t="str">
        <f t="shared" si="2"/>
        <v>Tue - Sat - Sun</v>
      </c>
      <c r="AA10" s="37">
        <f>Table2[[#This Row],[Break 1]]</f>
        <v>0.46875</v>
      </c>
      <c r="AB10" s="37">
        <f>Table2[[#This Row],[Break 2]]</f>
        <v>0.5625</v>
      </c>
      <c r="AC10" s="37">
        <f>Table2[[#This Row],[Lunch]]</f>
        <v>0.75</v>
      </c>
      <c r="AD10" s="37">
        <f>Table2[[#This Row],[Break 3]]</f>
        <v>0.65625</v>
      </c>
      <c r="AE10" t="str">
        <f>Table2[[#This Row],[Supervisor]]</f>
        <v>Anmecha Valencia</v>
      </c>
      <c r="AF10" t="str">
        <f>IFERROR(TEXT(TIMEVALUE(LEFT(Table2[[#This Row],[EST SHIFT]],5)),"h:mm AM/PM")&amp;" - "&amp;TEXT(TIMEVALUE(RIGHT(Table2[[#This Row],[EST SHIFT]],5)),"h:mm AM/PM"),"OFF")</f>
        <v>9:00 am - 8:00 pm</v>
      </c>
      <c r="AG10">
        <f t="shared" si="3"/>
        <v>0</v>
      </c>
    </row>
    <row r="11" spans="1:33" x14ac:dyDescent="0.25">
      <c r="A11" s="6" t="s">
        <v>45</v>
      </c>
      <c r="B11" s="1" t="s">
        <v>46</v>
      </c>
      <c r="C11" s="1" t="s">
        <v>46</v>
      </c>
      <c r="D11" s="1" t="s">
        <v>18</v>
      </c>
      <c r="E11" s="1" t="s">
        <v>46</v>
      </c>
      <c r="F11" s="1" t="s">
        <v>46</v>
      </c>
      <c r="G11" s="1" t="s">
        <v>18</v>
      </c>
      <c r="H11" s="1" t="s">
        <v>18</v>
      </c>
      <c r="I11" s="2" t="s">
        <v>47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38</v>
      </c>
      <c r="O11" s="1" t="s">
        <v>46</v>
      </c>
      <c r="P11">
        <f t="shared" si="0"/>
        <v>0</v>
      </c>
      <c r="R11" t="str">
        <f>Table2[[#This Row],[Name]]</f>
        <v>Chris Paul Dalut</v>
      </c>
      <c r="S11" t="str">
        <f>IFERROR(TEXT(TIMEVALUE(LEFT(B11,5)),"h:mm AM/PM")&amp;" - "&amp;TEXT(TIMEVALUE(RIGHT(B11,5)),"h:mm AM/PM"),"OFF")</f>
        <v>3:00 am - 2:00 pm</v>
      </c>
      <c r="T11" t="str">
        <f>IFERROR(TEXT(TIMEVALUE(LEFT(Table2[[#This Row],[Tuesday]],5)),"h:mm AM/PM")&amp;" - "&amp;TEXT(TIMEVALUE(RIGHT(Table2[[#This Row],[Tuesday]],5)),"h:mm AM/PM"),"OFF")</f>
        <v>3:00 am - 2:00 pm</v>
      </c>
      <c r="U11" t="str">
        <f>IFERROR(TEXT(TIMEVALUE(LEFT(Table2[[#This Row],[Wednesday]],5)),"h:mm AM/PM")&amp;" - "&amp;TEXT(TIMEVALUE(RIGHT(Table2[[#This Row],[Wednesday]],5)),"h:mm AM/PM"),"OFF")</f>
        <v>OFF</v>
      </c>
      <c r="V11" t="str">
        <f>IFERROR(TEXT(TIMEVALUE(LEFT(Table2[[#This Row],[Thursday]],5)),"h:mm AM/PM")&amp;" - "&amp;TEXT(TIMEVALUE(RIGHT(Table2[[#This Row],[Thursday]],5)),"h:mm AM/PM"),"OFF")</f>
        <v>3:00 am - 2:00 pm</v>
      </c>
      <c r="W11" t="str">
        <f>IFERROR(TEXT(TIMEVALUE(LEFT(Table2[[#This Row],[Friday]],5)),"h:mm AM/PM")&amp;" - "&amp;TEXT(TIMEVALUE(RIGHT(Table2[[#This Row],[Friday]],5)),"h:mm AM/PM"),"OFF")</f>
        <v>3:00 am - 2:00 pm</v>
      </c>
      <c r="X11" t="str">
        <f>IFERROR(TEXT(TIMEVALUE(LEFT(Table2[[#This Row],[Saturday]],5)),"h:mm AM/PM")&amp;" - "&amp;TEXT(TIMEVALUE(RIGHT(Table2[[#This Row],[Saturday]],5)),"h:mm AM/PM"),"OFF")</f>
        <v>OFF</v>
      </c>
      <c r="Y11" t="str">
        <f>IFERROR(TEXT(TIMEVALUE(LEFT(Table2[[#This Row],[Sunday]],5)),"h:mm AM/PM")&amp;" - "&amp;TEXT(TIMEVALUE(RIGHT(Table2[[#This Row],[Sunday]],5)),"h:mm AM/PM"),"OFF")</f>
        <v>OFF</v>
      </c>
      <c r="Z11" t="str">
        <f t="shared" si="2"/>
        <v>Wed - Sat - Sun</v>
      </c>
      <c r="AA11" s="37">
        <f>Table2[[#This Row],[Break 1]]</f>
        <v>0.19791666666666666</v>
      </c>
      <c r="AB11" s="37">
        <f>Table2[[#This Row],[Break 2]]</f>
        <v>0.4375</v>
      </c>
      <c r="AC11" s="37">
        <f>Table2[[#This Row],[Lunch]]</f>
        <v>0.3125</v>
      </c>
      <c r="AD11" s="37">
        <f>Table2[[#This Row],[Break 3]]</f>
        <v>0.54166666666666663</v>
      </c>
      <c r="AE11" t="str">
        <f>Table2[[#This Row],[Supervisor]]</f>
        <v>Anmecha Valencia</v>
      </c>
      <c r="AF11" t="str">
        <f>IFERROR(TEXT(TIMEVALUE(LEFT(Table2[[#This Row],[EST SHIFT]],5)),"h:mm AM/PM")&amp;" - "&amp;TEXT(TIMEVALUE(RIGHT(Table2[[#This Row],[EST SHIFT]],5)),"h:mm AM/PM"),"OFF")</f>
        <v>3:00 am - 2:00 pm</v>
      </c>
      <c r="AG11">
        <f t="shared" si="3"/>
        <v>0</v>
      </c>
    </row>
    <row r="12" spans="1:33" x14ac:dyDescent="0.25">
      <c r="A12" s="6" t="s">
        <v>48</v>
      </c>
      <c r="B12" s="1" t="s">
        <v>18</v>
      </c>
      <c r="C12" s="1" t="s">
        <v>36</v>
      </c>
      <c r="D12" s="1" t="s">
        <v>36</v>
      </c>
      <c r="E12" s="1" t="s">
        <v>36</v>
      </c>
      <c r="F12" s="1" t="s">
        <v>36</v>
      </c>
      <c r="G12" s="1" t="s">
        <v>18</v>
      </c>
      <c r="H12" s="1" t="s">
        <v>18</v>
      </c>
      <c r="I12" s="2" t="s">
        <v>49</v>
      </c>
      <c r="J12" s="3">
        <v>0.45833333333333331</v>
      </c>
      <c r="K12" s="3">
        <v>0.54166666666666663</v>
      </c>
      <c r="L12" s="3">
        <v>0.64583333333333337</v>
      </c>
      <c r="M12" s="3">
        <v>0.76041666666666663</v>
      </c>
      <c r="N12" s="4" t="s">
        <v>34</v>
      </c>
      <c r="O12" s="1" t="s">
        <v>36</v>
      </c>
      <c r="P12">
        <f t="shared" si="0"/>
        <v>0</v>
      </c>
      <c r="R12" t="str">
        <f>Table2[[#This Row],[Name]]</f>
        <v>Christian Lajera</v>
      </c>
      <c r="S12" t="str">
        <f>IFERROR(TEXT(TIMEVALUE(LEFT(B12,5)),"h:mm AM/PM")&amp;" - "&amp;TEXT(TIMEVALUE(RIGHT(B12,5)),"h:mm AM/PM"),"OFF")</f>
        <v>OFF</v>
      </c>
      <c r="T12" t="str">
        <f>IFERROR(TEXT(TIMEVALUE(LEFT(Table2[[#This Row],[Tuesday]],5)),"h:mm AM/PM")&amp;" - "&amp;TEXT(TIMEVALUE(RIGHT(Table2[[#This Row],[Tuesday]],5)),"h:mm AM/PM"),"OFF")</f>
        <v>9:00 am - 8:00 pm</v>
      </c>
      <c r="U12" t="str">
        <f>IFERROR(TEXT(TIMEVALUE(LEFT(Table2[[#This Row],[Wednesday]],5)),"h:mm AM/PM")&amp;" - "&amp;TEXT(TIMEVALUE(RIGHT(Table2[[#This Row],[Wednesday]],5)),"h:mm AM/PM"),"OFF")</f>
        <v>9:00 am - 8:00 pm</v>
      </c>
      <c r="V12" t="str">
        <f>IFERROR(TEXT(TIMEVALUE(LEFT(Table2[[#This Row],[Thursday]],5)),"h:mm AM/PM")&amp;" - "&amp;TEXT(TIMEVALUE(RIGHT(Table2[[#This Row],[Thursday]],5)),"h:mm AM/PM"),"OFF")</f>
        <v>9:00 am - 8:00 pm</v>
      </c>
      <c r="W12" t="str">
        <f>IFERROR(TEXT(TIMEVALUE(LEFT(Table2[[#This Row],[Friday]],5)),"h:mm AM/PM")&amp;" - "&amp;TEXT(TIMEVALUE(RIGHT(Table2[[#This Row],[Friday]],5)),"h:mm AM/PM"),"OFF")</f>
        <v>9:00 am - 8:00 pm</v>
      </c>
      <c r="X12" t="str">
        <f>IFERROR(TEXT(TIMEVALUE(LEFT(Table2[[#This Row],[Saturday]],5)),"h:mm AM/PM")&amp;" - "&amp;TEXT(TIMEVALUE(RIGHT(Table2[[#This Row],[Saturday]],5)),"h:mm AM/PM"),"OFF")</f>
        <v>OFF</v>
      </c>
      <c r="Y12" t="str">
        <f>IFERROR(TEXT(TIMEVALUE(LEFT(Table2[[#This Row],[Sunday]],5)),"h:mm AM/PM")&amp;" - "&amp;TEXT(TIMEVALUE(RIGHT(Table2[[#This Row],[Sunday]],5)),"h:mm AM/PM"),"OFF")</f>
        <v>OFF</v>
      </c>
      <c r="Z12" t="str">
        <f t="shared" si="2"/>
        <v>Mon - Sat - Sun</v>
      </c>
      <c r="AA12" s="37">
        <f>Table2[[#This Row],[Break 1]]</f>
        <v>0.45833333333333331</v>
      </c>
      <c r="AB12" s="37">
        <f>Table2[[#This Row],[Break 2]]</f>
        <v>0.54166666666666663</v>
      </c>
      <c r="AC12" s="37">
        <f>Table2[[#This Row],[Lunch]]</f>
        <v>0.64583333333333337</v>
      </c>
      <c r="AD12" s="37">
        <f>Table2[[#This Row],[Break 3]]</f>
        <v>0.76041666666666663</v>
      </c>
      <c r="AE12" t="str">
        <f>Table2[[#This Row],[Supervisor]]</f>
        <v>Michael Dominguez</v>
      </c>
      <c r="AF12" t="str">
        <f>IFERROR(TEXT(TIMEVALUE(LEFT(Table2[[#This Row],[EST SHIFT]],5)),"h:mm AM/PM")&amp;" - "&amp;TEXT(TIMEVALUE(RIGHT(Table2[[#This Row],[EST SHIFT]],5)),"h:mm AM/PM"),"OFF")</f>
        <v>9:00 am - 8:00 pm</v>
      </c>
      <c r="AG12">
        <f t="shared" si="3"/>
        <v>0</v>
      </c>
    </row>
    <row r="13" spans="1:33" x14ac:dyDescent="0.25">
      <c r="A13" s="6" t="s">
        <v>50</v>
      </c>
      <c r="B13" s="1" t="s">
        <v>29</v>
      </c>
      <c r="C13" s="1" t="s">
        <v>29</v>
      </c>
      <c r="D13" s="1" t="s">
        <v>29</v>
      </c>
      <c r="E13" s="1" t="s">
        <v>29</v>
      </c>
      <c r="F13" s="1" t="s">
        <v>18</v>
      </c>
      <c r="G13" s="1" t="s">
        <v>18</v>
      </c>
      <c r="H13" s="1" t="s">
        <v>18</v>
      </c>
      <c r="I13" s="2" t="s">
        <v>30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42</v>
      </c>
      <c r="O13" s="1" t="s">
        <v>29</v>
      </c>
      <c r="P13">
        <f t="shared" si="0"/>
        <v>0</v>
      </c>
      <c r="R13" t="str">
        <f>Table2[[#This Row],[Name]]</f>
        <v>Cleendy Cerilla</v>
      </c>
      <c r="S13" t="str">
        <f>IFERROR(TEXT(TIMEVALUE(LEFT(B13,5)),"h:mm AM/PM")&amp;" - "&amp;TEXT(TIMEVALUE(RIGHT(B13,5)),"h:mm AM/PM"),"OFF")</f>
        <v>7:30 am - 6:30 pm</v>
      </c>
      <c r="T13" t="str">
        <f>IFERROR(TEXT(TIMEVALUE(LEFT(Table2[[#This Row],[Tuesday]],5)),"h:mm AM/PM")&amp;" - "&amp;TEXT(TIMEVALUE(RIGHT(Table2[[#This Row],[Tuesday]],5)),"h:mm AM/PM"),"OFF")</f>
        <v>7:30 am - 6:30 pm</v>
      </c>
      <c r="U13" t="str">
        <f>IFERROR(TEXT(TIMEVALUE(LEFT(Table2[[#This Row],[Wednesday]],5)),"h:mm AM/PM")&amp;" - "&amp;TEXT(TIMEVALUE(RIGHT(Table2[[#This Row],[Wednesday]],5)),"h:mm AM/PM"),"OFF")</f>
        <v>7:30 am - 6:30 pm</v>
      </c>
      <c r="V13" t="str">
        <f>IFERROR(TEXT(TIMEVALUE(LEFT(Table2[[#This Row],[Thursday]],5)),"h:mm AM/PM")&amp;" - "&amp;TEXT(TIMEVALUE(RIGHT(Table2[[#This Row],[Thursday]],5)),"h:mm AM/PM"),"OFF")</f>
        <v>7:30 am - 6:30 pm</v>
      </c>
      <c r="W13" t="str">
        <f>IFERROR(TEXT(TIMEVALUE(LEFT(Table2[[#This Row],[Friday]],5)),"h:mm AM/PM")&amp;" - "&amp;TEXT(TIMEVALUE(RIGHT(Table2[[#This Row],[Friday]],5)),"h:mm AM/PM"),"OFF")</f>
        <v>OFF</v>
      </c>
      <c r="X13" t="str">
        <f>IFERROR(TEXT(TIMEVALUE(LEFT(Table2[[#This Row],[Saturday]],5)),"h:mm AM/PM")&amp;" - "&amp;TEXT(TIMEVALUE(RIGHT(Table2[[#This Row],[Saturday]],5)),"h:mm AM/PM"),"OFF")</f>
        <v>OFF</v>
      </c>
      <c r="Y13" t="str">
        <f>IFERROR(TEXT(TIMEVALUE(LEFT(Table2[[#This Row],[Sunday]],5)),"h:mm AM/PM")&amp;" - "&amp;TEXT(TIMEVALUE(RIGHT(Table2[[#This Row],[Sunday]],5)),"h:mm AM/PM"),"OFF")</f>
        <v>OFF</v>
      </c>
      <c r="Z13" t="str">
        <f t="shared" si="2"/>
        <v>Fri - Sat - Sun</v>
      </c>
      <c r="AA13" s="37">
        <f>Table2[[#This Row],[Break 1]]</f>
        <v>0.39583333333333331</v>
      </c>
      <c r="AB13" s="37">
        <f>Table2[[#This Row],[Break 2]]</f>
        <v>0.60416666666666663</v>
      </c>
      <c r="AC13" s="37">
        <f>Table2[[#This Row],[Lunch]]</f>
        <v>0.47916666666666669</v>
      </c>
      <c r="AD13" s="37">
        <f>Table2[[#This Row],[Break 3]]</f>
        <v>0.72916666666666663</v>
      </c>
      <c r="AE13" t="str">
        <f>Table2[[#This Row],[Supervisor]]</f>
        <v>Christopher Rodas</v>
      </c>
      <c r="AF13" t="str">
        <f>IFERROR(TEXT(TIMEVALUE(LEFT(Table2[[#This Row],[EST SHIFT]],5)),"h:mm AM/PM")&amp;" - "&amp;TEXT(TIMEVALUE(RIGHT(Table2[[#This Row],[EST SHIFT]],5)),"h:mm AM/PM"),"OFF")</f>
        <v>7:30 am - 6:30 pm</v>
      </c>
      <c r="AG13">
        <f t="shared" si="3"/>
        <v>0</v>
      </c>
    </row>
    <row r="14" spans="1:33" x14ac:dyDescent="0.25">
      <c r="A14" s="45" t="s">
        <v>51</v>
      </c>
      <c r="B14" s="1" t="s">
        <v>18</v>
      </c>
      <c r="C14" s="1" t="s">
        <v>18</v>
      </c>
      <c r="D14" s="1" t="s">
        <v>18</v>
      </c>
      <c r="E14" s="1" t="s">
        <v>52</v>
      </c>
      <c r="F14" s="1" t="s">
        <v>52</v>
      </c>
      <c r="G14" s="1" t="s">
        <v>52</v>
      </c>
      <c r="H14" s="1" t="s">
        <v>52</v>
      </c>
      <c r="I14" s="2" t="s">
        <v>33</v>
      </c>
      <c r="J14" s="3">
        <v>0.875</v>
      </c>
      <c r="K14" s="3">
        <v>0.95833333333333337</v>
      </c>
      <c r="L14" s="3">
        <v>6.25E-2</v>
      </c>
      <c r="M14" s="3">
        <v>0.1875</v>
      </c>
      <c r="N14" s="4" t="s">
        <v>27</v>
      </c>
      <c r="O14" s="1" t="s">
        <v>52</v>
      </c>
      <c r="P14">
        <f t="shared" si="0"/>
        <v>1</v>
      </c>
      <c r="R14" t="str">
        <f>Table2[[#This Row],[Name]]</f>
        <v>Crisma Vic Melecio</v>
      </c>
      <c r="S14" t="str">
        <f>IFERROR(TEXT(TIMEVALUE(LEFT(B14,5)),"h:mm AM/PM")&amp;" - "&amp;TEXT(TIMEVALUE(RIGHT(B14,5)),"h:mm AM/PM"),"OFF")</f>
        <v>OFF</v>
      </c>
      <c r="T14" t="str">
        <f>IFERROR(TEXT(TIMEVALUE(LEFT(Table2[[#This Row],[Tuesday]],5)),"h:mm AM/PM")&amp;" - "&amp;TEXT(TIMEVALUE(RIGHT(Table2[[#This Row],[Tuesday]],5)),"h:mm AM/PM"),"OFF")</f>
        <v>OFF</v>
      </c>
      <c r="U14" t="str">
        <f>IFERROR(TEXT(TIMEVALUE(LEFT(Table2[[#This Row],[Wednesday]],5)),"h:mm AM/PM")&amp;" - "&amp;TEXT(TIMEVALUE(RIGHT(Table2[[#This Row],[Wednesday]],5)),"h:mm AM/PM"),"OFF")</f>
        <v>OFF</v>
      </c>
      <c r="V14" t="str">
        <f>IFERROR(TEXT(TIMEVALUE(LEFT(Table2[[#This Row],[Thursday]],5)),"h:mm AM/PM")&amp;" - "&amp;TEXT(TIMEVALUE(RIGHT(Table2[[#This Row],[Thursday]],5)),"h:mm AM/PM"),"OFF")</f>
        <v>7:00 pm - 6:00 am</v>
      </c>
      <c r="W14" t="str">
        <f>IFERROR(TEXT(TIMEVALUE(LEFT(Table2[[#This Row],[Friday]],5)),"h:mm AM/PM")&amp;" - "&amp;TEXT(TIMEVALUE(RIGHT(Table2[[#This Row],[Friday]],5)),"h:mm AM/PM"),"OFF")</f>
        <v>7:00 pm - 6:00 am</v>
      </c>
      <c r="X14" t="str">
        <f>IFERROR(TEXT(TIMEVALUE(LEFT(Table2[[#This Row],[Saturday]],5)),"h:mm AM/PM")&amp;" - "&amp;TEXT(TIMEVALUE(RIGHT(Table2[[#This Row],[Saturday]],5)),"h:mm AM/PM"),"OFF")</f>
        <v>7:00 pm - 6:00 am</v>
      </c>
      <c r="Y14" t="str">
        <f>IFERROR(TEXT(TIMEVALUE(LEFT(Table2[[#This Row],[Sunday]],5)),"h:mm AM/PM")&amp;" - "&amp;TEXT(TIMEVALUE(RIGHT(Table2[[#This Row],[Sunday]],5)),"h:mm AM/PM"),"OFF")</f>
        <v>7:00 pm - 6:00 am</v>
      </c>
      <c r="Z14" t="str">
        <f t="shared" si="2"/>
        <v>Mon - Tue - Wed</v>
      </c>
      <c r="AA14" s="37">
        <f>Table2[[#This Row],[Break 1]]</f>
        <v>0.875</v>
      </c>
      <c r="AB14" s="37">
        <f>Table2[[#This Row],[Break 2]]</f>
        <v>0.95833333333333337</v>
      </c>
      <c r="AC14" s="37">
        <f>Table2[[#This Row],[Lunch]]</f>
        <v>6.25E-2</v>
      </c>
      <c r="AD14" s="37">
        <f>Table2[[#This Row],[Break 3]]</f>
        <v>0.1875</v>
      </c>
      <c r="AE14" t="str">
        <f>Table2[[#This Row],[Supervisor]]</f>
        <v>Manilyn Abellar</v>
      </c>
      <c r="AF14" t="str">
        <f>IFERROR(TEXT(TIMEVALUE(LEFT(Table2[[#This Row],[EST SHIFT]],5)),"h:mm AM/PM")&amp;" - "&amp;TEXT(TIMEVALUE(RIGHT(Table2[[#This Row],[EST SHIFT]],5)),"h:mm AM/PM"),"OFF")</f>
        <v>7:00 pm - 6:00 am</v>
      </c>
      <c r="AG14">
        <f t="shared" si="3"/>
        <v>1</v>
      </c>
    </row>
    <row r="15" spans="1:33" x14ac:dyDescent="0.25">
      <c r="A15" s="55" t="s">
        <v>53</v>
      </c>
      <c r="B15" s="1" t="s">
        <v>18</v>
      </c>
      <c r="C15" s="1" t="s">
        <v>54</v>
      </c>
      <c r="D15" s="1" t="s">
        <v>54</v>
      </c>
      <c r="E15" s="1" t="s">
        <v>54</v>
      </c>
      <c r="F15" s="1" t="s">
        <v>54</v>
      </c>
      <c r="G15" s="1" t="s">
        <v>18</v>
      </c>
      <c r="H15" s="1" t="s">
        <v>18</v>
      </c>
      <c r="I15" s="2" t="s">
        <v>30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27</v>
      </c>
      <c r="O15" s="1" t="s">
        <v>54</v>
      </c>
      <c r="P15">
        <f t="shared" si="0"/>
        <v>0</v>
      </c>
      <c r="R15" t="str">
        <f>Table2[[#This Row],[Name]]</f>
        <v>Cynthia Anosa</v>
      </c>
      <c r="S15" t="str">
        <f>IFERROR(TEXT(TIMEVALUE(LEFT(B15,5)),"h:mm AM/PM")&amp;" - "&amp;TEXT(TIMEVALUE(RIGHT(B15,5)),"h:mm AM/PM"),"OFF")</f>
        <v>OFF</v>
      </c>
      <c r="T15" t="str">
        <f>IFERROR(TEXT(TIMEVALUE(LEFT(Table2[[#This Row],[Tuesday]],5)),"h:mm AM/PM")&amp;" - "&amp;TEXT(TIMEVALUE(RIGHT(Table2[[#This Row],[Tuesday]],5)),"h:mm AM/PM"),"OFF")</f>
        <v>4:00 am - 3:00 pm</v>
      </c>
      <c r="U15" t="str">
        <f>IFERROR(TEXT(TIMEVALUE(LEFT(Table2[[#This Row],[Wednesday]],5)),"h:mm AM/PM")&amp;" - "&amp;TEXT(TIMEVALUE(RIGHT(Table2[[#This Row],[Wednesday]],5)),"h:mm AM/PM"),"OFF")</f>
        <v>4:00 am - 3:00 pm</v>
      </c>
      <c r="V15" t="str">
        <f>IFERROR(TEXT(TIMEVALUE(LEFT(Table2[[#This Row],[Thursday]],5)),"h:mm AM/PM")&amp;" - "&amp;TEXT(TIMEVALUE(RIGHT(Table2[[#This Row],[Thursday]],5)),"h:mm AM/PM"),"OFF")</f>
        <v>4:00 am - 3:00 pm</v>
      </c>
      <c r="W15" t="str">
        <f>IFERROR(TEXT(TIMEVALUE(LEFT(Table2[[#This Row],[Friday]],5)),"h:mm AM/PM")&amp;" - "&amp;TEXT(TIMEVALUE(RIGHT(Table2[[#This Row],[Friday]],5)),"h:mm AM/PM"),"OFF")</f>
        <v>4:00 am - 3:00 pm</v>
      </c>
      <c r="X15" t="str">
        <f>IFERROR(TEXT(TIMEVALUE(LEFT(Table2[[#This Row],[Saturday]],5)),"h:mm AM/PM")&amp;" - "&amp;TEXT(TIMEVALUE(RIGHT(Table2[[#This Row],[Saturday]],5)),"h:mm AM/PM"),"OFF")</f>
        <v>OFF</v>
      </c>
      <c r="Y15" t="str">
        <f>IFERROR(TEXT(TIMEVALUE(LEFT(Table2[[#This Row],[Sunday]],5)),"h:mm AM/PM")&amp;" - "&amp;TEXT(TIMEVALUE(RIGHT(Table2[[#This Row],[Sunday]],5)),"h:mm AM/PM"),"OFF")</f>
        <v>OFF</v>
      </c>
      <c r="Z15" t="str">
        <f t="shared" si="2"/>
        <v>Mon - Sat - Sun</v>
      </c>
      <c r="AA15" s="37">
        <f>Table2[[#This Row],[Break 1]]</f>
        <v>0.23958333333333334</v>
      </c>
      <c r="AB15" s="37">
        <f>Table2[[#This Row],[Break 2]]</f>
        <v>0.52083333333333337</v>
      </c>
      <c r="AC15" s="37">
        <f>Table2[[#This Row],[Lunch]]</f>
        <v>0.35416666666666669</v>
      </c>
      <c r="AD15" s="37">
        <f>Table2[[#This Row],[Break 3]]</f>
        <v>0.58333333333333337</v>
      </c>
      <c r="AE15" t="str">
        <f>Table2[[#This Row],[Supervisor]]</f>
        <v>Manilyn Abellar</v>
      </c>
      <c r="AF15" t="str">
        <f>IFERROR(TEXT(TIMEVALUE(LEFT(Table2[[#This Row],[EST SHIFT]],5)),"h:mm AM/PM")&amp;" - "&amp;TEXT(TIMEVALUE(RIGHT(Table2[[#This Row],[EST SHIFT]],5)),"h:mm AM/PM"),"OFF")</f>
        <v>4:00 am - 3:00 pm</v>
      </c>
      <c r="AG15">
        <f t="shared" si="3"/>
        <v>0</v>
      </c>
    </row>
    <row r="16" spans="1:33" x14ac:dyDescent="0.25">
      <c r="A16" s="6" t="s">
        <v>55</v>
      </c>
      <c r="B16" s="1" t="s">
        <v>36</v>
      </c>
      <c r="C16" s="1" t="s">
        <v>36</v>
      </c>
      <c r="D16" s="1" t="s">
        <v>36</v>
      </c>
      <c r="E16" s="1" t="s">
        <v>36</v>
      </c>
      <c r="F16" s="1" t="s">
        <v>18</v>
      </c>
      <c r="G16" s="1" t="s">
        <v>18</v>
      </c>
      <c r="H16" s="1" t="s">
        <v>18</v>
      </c>
      <c r="I16" s="2" t="s">
        <v>30</v>
      </c>
      <c r="J16" s="3">
        <v>0.47916666666666669</v>
      </c>
      <c r="K16" s="3">
        <v>0.72916666666666663</v>
      </c>
      <c r="L16" s="3">
        <v>0.60416666666666663</v>
      </c>
      <c r="M16" s="3">
        <v>0.80208333333333337</v>
      </c>
      <c r="N16" s="4" t="s">
        <v>27</v>
      </c>
      <c r="O16" s="1" t="s">
        <v>36</v>
      </c>
      <c r="P16">
        <f t="shared" si="0"/>
        <v>0</v>
      </c>
      <c r="R16" t="str">
        <f>Table2[[#This Row],[Name]]</f>
        <v>Cyril Tagalog</v>
      </c>
      <c r="S16" t="str">
        <f>IFERROR(TEXT(TIMEVALUE(LEFT(B16,5)),"h:mm AM/PM")&amp;" - "&amp;TEXT(TIMEVALUE(RIGHT(B16,5)),"h:mm AM/PM"),"OFF")</f>
        <v>9:00 am - 8:00 pm</v>
      </c>
      <c r="T16" t="str">
        <f>IFERROR(TEXT(TIMEVALUE(LEFT(Table2[[#This Row],[Tuesday]],5)),"h:mm AM/PM")&amp;" - "&amp;TEXT(TIMEVALUE(RIGHT(Table2[[#This Row],[Tuesday]],5)),"h:mm AM/PM"),"OFF")</f>
        <v>9:00 am - 8:00 pm</v>
      </c>
      <c r="U16" t="str">
        <f>IFERROR(TEXT(TIMEVALUE(LEFT(Table2[[#This Row],[Wednesday]],5)),"h:mm AM/PM")&amp;" - "&amp;TEXT(TIMEVALUE(RIGHT(Table2[[#This Row],[Wednesday]],5)),"h:mm AM/PM"),"OFF")</f>
        <v>9:00 am - 8:00 pm</v>
      </c>
      <c r="V16" t="str">
        <f>IFERROR(TEXT(TIMEVALUE(LEFT(Table2[[#This Row],[Thursday]],5)),"h:mm AM/PM")&amp;" - "&amp;TEXT(TIMEVALUE(RIGHT(Table2[[#This Row],[Thursday]],5)),"h:mm AM/PM"),"OFF")</f>
        <v>9:00 am - 8:00 pm</v>
      </c>
      <c r="W16" t="str">
        <f>IFERROR(TEXT(TIMEVALUE(LEFT(Table2[[#This Row],[Friday]],5)),"h:mm AM/PM")&amp;" - "&amp;TEXT(TIMEVALUE(RIGHT(Table2[[#This Row],[Friday]],5)),"h:mm AM/PM"),"OFF")</f>
        <v>OFF</v>
      </c>
      <c r="X16" t="str">
        <f>IFERROR(TEXT(TIMEVALUE(LEFT(Table2[[#This Row],[Saturday]],5)),"h:mm AM/PM")&amp;" - "&amp;TEXT(TIMEVALUE(RIGHT(Table2[[#This Row],[Saturday]],5)),"h:mm AM/PM"),"OFF")</f>
        <v>OFF</v>
      </c>
      <c r="Y16" t="str">
        <f>IFERROR(TEXT(TIMEVALUE(LEFT(Table2[[#This Row],[Sunday]],5)),"h:mm AM/PM")&amp;" - "&amp;TEXT(TIMEVALUE(RIGHT(Table2[[#This Row],[Sunday]],5)),"h:mm AM/PM"),"OFF")</f>
        <v>OFF</v>
      </c>
      <c r="Z16" t="str">
        <f t="shared" si="2"/>
        <v>Fri - Sat - Sun</v>
      </c>
      <c r="AA16" s="37">
        <f>Table2[[#This Row],[Break 1]]</f>
        <v>0.47916666666666669</v>
      </c>
      <c r="AB16" s="37">
        <f>Table2[[#This Row],[Break 2]]</f>
        <v>0.72916666666666663</v>
      </c>
      <c r="AC16" s="37">
        <f>Table2[[#This Row],[Lunch]]</f>
        <v>0.60416666666666663</v>
      </c>
      <c r="AD16" s="37">
        <f>Table2[[#This Row],[Break 3]]</f>
        <v>0.80208333333333337</v>
      </c>
      <c r="AE16" t="str">
        <f>Table2[[#This Row],[Supervisor]]</f>
        <v>Manilyn Abellar</v>
      </c>
      <c r="AF16" t="str">
        <f>IFERROR(TEXT(TIMEVALUE(LEFT(Table2[[#This Row],[EST SHIFT]],5)),"h:mm AM/PM")&amp;" - "&amp;TEXT(TIMEVALUE(RIGHT(Table2[[#This Row],[EST SHIFT]],5)),"h:mm AM/PM"),"OFF")</f>
        <v>9:00 am - 8:00 pm</v>
      </c>
      <c r="AG16">
        <f t="shared" si="3"/>
        <v>0</v>
      </c>
    </row>
    <row r="17" spans="1:33" x14ac:dyDescent="0.25">
      <c r="A17" s="6" t="s">
        <v>56</v>
      </c>
      <c r="B17" s="1" t="s">
        <v>25</v>
      </c>
      <c r="C17" s="1" t="s">
        <v>18</v>
      </c>
      <c r="D17" s="1" t="s">
        <v>18</v>
      </c>
      <c r="E17" s="1" t="s">
        <v>18</v>
      </c>
      <c r="F17" s="1" t="s">
        <v>25</v>
      </c>
      <c r="G17" s="1" t="s">
        <v>25</v>
      </c>
      <c r="H17" s="1" t="s">
        <v>25</v>
      </c>
      <c r="I17" s="2" t="s">
        <v>41</v>
      </c>
      <c r="J17" s="3">
        <v>0.4375</v>
      </c>
      <c r="K17" s="3">
        <v>0.64583333333333337</v>
      </c>
      <c r="L17" s="3">
        <v>0.52083333333333337</v>
      </c>
      <c r="M17" s="3">
        <v>0.75</v>
      </c>
      <c r="N17" s="4" t="s">
        <v>27</v>
      </c>
      <c r="O17" s="1" t="s">
        <v>25</v>
      </c>
      <c r="P17">
        <f t="shared" si="0"/>
        <v>0</v>
      </c>
      <c r="R17" t="str">
        <f>Table2[[#This Row],[Name]]</f>
        <v>Dairenn Angel Adarne</v>
      </c>
      <c r="S17" t="str">
        <f>IFERROR(TEXT(TIMEVALUE(LEFT(B17,5)),"h:mm AM/PM")&amp;" - "&amp;TEXT(TIMEVALUE(RIGHT(B17,5)),"h:mm AM/PM"),"OFF")</f>
        <v>8:00 am - 7:00 pm</v>
      </c>
      <c r="T17" t="str">
        <f>IFERROR(TEXT(TIMEVALUE(LEFT(Table2[[#This Row],[Tuesday]],5)),"h:mm AM/PM")&amp;" - "&amp;TEXT(TIMEVALUE(RIGHT(Table2[[#This Row],[Tuesday]],5)),"h:mm AM/PM"),"OFF")</f>
        <v>OFF</v>
      </c>
      <c r="U17" t="str">
        <f>IFERROR(TEXT(TIMEVALUE(LEFT(Table2[[#This Row],[Wednesday]],5)),"h:mm AM/PM")&amp;" - "&amp;TEXT(TIMEVALUE(RIGHT(Table2[[#This Row],[Wednesday]],5)),"h:mm AM/PM"),"OFF")</f>
        <v>OFF</v>
      </c>
      <c r="V17" t="str">
        <f>IFERROR(TEXT(TIMEVALUE(LEFT(Table2[[#This Row],[Thursday]],5)),"h:mm AM/PM")&amp;" - "&amp;TEXT(TIMEVALUE(RIGHT(Table2[[#This Row],[Thursday]],5)),"h:mm AM/PM"),"OFF")</f>
        <v>OFF</v>
      </c>
      <c r="W17" t="str">
        <f>IFERROR(TEXT(TIMEVALUE(LEFT(Table2[[#This Row],[Friday]],5)),"h:mm AM/PM")&amp;" - "&amp;TEXT(TIMEVALUE(RIGHT(Table2[[#This Row],[Friday]],5)),"h:mm AM/PM"),"OFF")</f>
        <v>8:00 am - 7:00 pm</v>
      </c>
      <c r="X17" t="str">
        <f>IFERROR(TEXT(TIMEVALUE(LEFT(Table2[[#This Row],[Saturday]],5)),"h:mm AM/PM")&amp;" - "&amp;TEXT(TIMEVALUE(RIGHT(Table2[[#This Row],[Saturday]],5)),"h:mm AM/PM"),"OFF")</f>
        <v>8:00 am - 7:00 pm</v>
      </c>
      <c r="Y17" t="str">
        <f>IFERROR(TEXT(TIMEVALUE(LEFT(Table2[[#This Row],[Sunday]],5)),"h:mm AM/PM")&amp;" - "&amp;TEXT(TIMEVALUE(RIGHT(Table2[[#This Row],[Sunday]],5)),"h:mm AM/PM"),"OFF")</f>
        <v>8:00 am - 7:00 pm</v>
      </c>
      <c r="Z17" t="str">
        <f t="shared" si="2"/>
        <v>Tue - Wed - Thu</v>
      </c>
      <c r="AA17" s="37">
        <f>Table2[[#This Row],[Break 1]]</f>
        <v>0.4375</v>
      </c>
      <c r="AB17" s="37">
        <f>Table2[[#This Row],[Break 2]]</f>
        <v>0.64583333333333337</v>
      </c>
      <c r="AC17" s="37">
        <f>Table2[[#This Row],[Lunch]]</f>
        <v>0.52083333333333337</v>
      </c>
      <c r="AD17" s="37">
        <f>Table2[[#This Row],[Break 3]]</f>
        <v>0.75</v>
      </c>
      <c r="AE17" t="str">
        <f>Table2[[#This Row],[Supervisor]]</f>
        <v>Manilyn Abellar</v>
      </c>
      <c r="AF17" t="str">
        <f>IFERROR(TEXT(TIMEVALUE(LEFT(Table2[[#This Row],[EST SHIFT]],5)),"h:mm AM/PM")&amp;" - "&amp;TEXT(TIMEVALUE(RIGHT(Table2[[#This Row],[EST SHIFT]],5)),"h:mm AM/PM"),"OFF")</f>
        <v>8:00 am - 7:00 pm</v>
      </c>
      <c r="AG17">
        <f t="shared" si="3"/>
        <v>0</v>
      </c>
    </row>
    <row r="18" spans="1:33" x14ac:dyDescent="0.25">
      <c r="A18" s="6" t="s">
        <v>57</v>
      </c>
      <c r="B18" s="1" t="s">
        <v>58</v>
      </c>
      <c r="C18" s="1" t="s">
        <v>58</v>
      </c>
      <c r="D18" s="1" t="s">
        <v>58</v>
      </c>
      <c r="E18" s="1" t="s">
        <v>58</v>
      </c>
      <c r="F18" s="1" t="s">
        <v>18</v>
      </c>
      <c r="G18" s="1" t="s">
        <v>18</v>
      </c>
      <c r="H18" s="1" t="s">
        <v>18</v>
      </c>
      <c r="I18" s="2" t="s">
        <v>30</v>
      </c>
      <c r="J18" s="3">
        <v>0.54166666666666663</v>
      </c>
      <c r="K18" s="3">
        <v>0.63541666666666663</v>
      </c>
      <c r="L18" s="3">
        <v>0.72916666666666663</v>
      </c>
      <c r="M18" s="3">
        <v>0.85416666666666663</v>
      </c>
      <c r="N18" s="4" t="s">
        <v>38</v>
      </c>
      <c r="O18" s="1" t="s">
        <v>58</v>
      </c>
      <c r="P18">
        <f t="shared" si="0"/>
        <v>0</v>
      </c>
      <c r="R18" t="str">
        <f>Table2[[#This Row],[Name]]</f>
        <v>Dharlyn Grej Estillore</v>
      </c>
      <c r="S18" t="str">
        <f>IFERROR(TEXT(TIMEVALUE(LEFT(B18,5)),"h:mm AM/PM")&amp;" - "&amp;TEXT(TIMEVALUE(RIGHT(B18,5)),"h:mm AM/PM"),"OFF")</f>
        <v>11:00 am - 10:00 pm</v>
      </c>
      <c r="T18" t="str">
        <f>IFERROR(TEXT(TIMEVALUE(LEFT(Table2[[#This Row],[Tuesday]],5)),"h:mm AM/PM")&amp;" - "&amp;TEXT(TIMEVALUE(RIGHT(Table2[[#This Row],[Tuesday]],5)),"h:mm AM/PM"),"OFF")</f>
        <v>11:00 am - 10:00 pm</v>
      </c>
      <c r="U18" t="str">
        <f>IFERROR(TEXT(TIMEVALUE(LEFT(Table2[[#This Row],[Wednesday]],5)),"h:mm AM/PM")&amp;" - "&amp;TEXT(TIMEVALUE(RIGHT(Table2[[#This Row],[Wednesday]],5)),"h:mm AM/PM"),"OFF")</f>
        <v>11:00 am - 10:00 pm</v>
      </c>
      <c r="V18" t="str">
        <f>IFERROR(TEXT(TIMEVALUE(LEFT(Table2[[#This Row],[Thursday]],5)),"h:mm AM/PM")&amp;" - "&amp;TEXT(TIMEVALUE(RIGHT(Table2[[#This Row],[Thursday]],5)),"h:mm AM/PM"),"OFF")</f>
        <v>11:00 am - 10:00 pm</v>
      </c>
      <c r="W18" t="str">
        <f>IFERROR(TEXT(TIMEVALUE(LEFT(Table2[[#This Row],[Friday]],5)),"h:mm AM/PM")&amp;" - "&amp;TEXT(TIMEVALUE(RIGHT(Table2[[#This Row],[Friday]],5)),"h:mm AM/PM"),"OFF")</f>
        <v>OFF</v>
      </c>
      <c r="X18" t="str">
        <f>IFERROR(TEXT(TIMEVALUE(LEFT(Table2[[#This Row],[Saturday]],5)),"h:mm AM/PM")&amp;" - "&amp;TEXT(TIMEVALUE(RIGHT(Table2[[#This Row],[Saturday]],5)),"h:mm AM/PM"),"OFF")</f>
        <v>OFF</v>
      </c>
      <c r="Y18" t="str">
        <f>IFERROR(TEXT(TIMEVALUE(LEFT(Table2[[#This Row],[Sunday]],5)),"h:mm AM/PM")&amp;" - "&amp;TEXT(TIMEVALUE(RIGHT(Table2[[#This Row],[Sunday]],5)),"h:mm AM/PM"),"OFF")</f>
        <v>OFF</v>
      </c>
      <c r="Z18" t="str">
        <f t="shared" si="2"/>
        <v>Fri - Sat - Sun</v>
      </c>
      <c r="AA18" s="37">
        <f>Table2[[#This Row],[Break 1]]</f>
        <v>0.54166666666666663</v>
      </c>
      <c r="AB18" s="37">
        <f>Table2[[#This Row],[Break 2]]</f>
        <v>0.63541666666666663</v>
      </c>
      <c r="AC18" s="37">
        <f>Table2[[#This Row],[Lunch]]</f>
        <v>0.72916666666666663</v>
      </c>
      <c r="AD18" s="37">
        <f>Table2[[#This Row],[Break 3]]</f>
        <v>0.85416666666666663</v>
      </c>
      <c r="AE18" t="str">
        <f>Table2[[#This Row],[Supervisor]]</f>
        <v>Anmecha Valencia</v>
      </c>
      <c r="AF18" t="str">
        <f>IFERROR(TEXT(TIMEVALUE(LEFT(Table2[[#This Row],[EST SHIFT]],5)),"h:mm AM/PM")&amp;" - "&amp;TEXT(TIMEVALUE(RIGHT(Table2[[#This Row],[EST SHIFT]],5)),"h:mm AM/PM"),"OFF")</f>
        <v>11:00 am - 10:00 pm</v>
      </c>
      <c r="AG18">
        <f t="shared" si="3"/>
        <v>0</v>
      </c>
    </row>
    <row r="19" spans="1:33" x14ac:dyDescent="0.25">
      <c r="A19" s="6" t="s">
        <v>59</v>
      </c>
      <c r="B19" s="1" t="s">
        <v>36</v>
      </c>
      <c r="C19" s="1" t="s">
        <v>36</v>
      </c>
      <c r="D19" s="1" t="s">
        <v>36</v>
      </c>
      <c r="E19" s="1" t="s">
        <v>18</v>
      </c>
      <c r="F19" s="1" t="s">
        <v>36</v>
      </c>
      <c r="G19" s="1" t="s">
        <v>18</v>
      </c>
      <c r="H19" s="1" t="s">
        <v>18</v>
      </c>
      <c r="I19" s="2" t="s">
        <v>26</v>
      </c>
      <c r="J19" s="3">
        <v>0.45833333333333331</v>
      </c>
      <c r="K19" s="3">
        <v>0.57291666666666663</v>
      </c>
      <c r="L19" s="3">
        <v>0.64583333333333337</v>
      </c>
      <c r="M19" s="3">
        <v>0.77083333333333337</v>
      </c>
      <c r="N19" s="4" t="s">
        <v>38</v>
      </c>
      <c r="O19" s="1" t="s">
        <v>36</v>
      </c>
      <c r="P19">
        <f t="shared" si="0"/>
        <v>0</v>
      </c>
      <c r="R19" t="str">
        <f>Table2[[#This Row],[Name]]</f>
        <v>Eduardo Jacinto</v>
      </c>
      <c r="S19" t="str">
        <f>IFERROR(TEXT(TIMEVALUE(LEFT(B19,5)),"h:mm AM/PM")&amp;" - "&amp;TEXT(TIMEVALUE(RIGHT(B19,5)),"h:mm AM/PM"),"OFF")</f>
        <v>9:00 am - 8:00 pm</v>
      </c>
      <c r="T19" t="str">
        <f>IFERROR(TEXT(TIMEVALUE(LEFT(Table2[[#This Row],[Tuesday]],5)),"h:mm AM/PM")&amp;" - "&amp;TEXT(TIMEVALUE(RIGHT(Table2[[#This Row],[Tuesday]],5)),"h:mm AM/PM"),"OFF")</f>
        <v>9:00 am - 8:00 pm</v>
      </c>
      <c r="U19" t="str">
        <f>IFERROR(TEXT(TIMEVALUE(LEFT(Table2[[#This Row],[Wednesday]],5)),"h:mm AM/PM")&amp;" - "&amp;TEXT(TIMEVALUE(RIGHT(Table2[[#This Row],[Wednesday]],5)),"h:mm AM/PM"),"OFF")</f>
        <v>9:00 am - 8:00 pm</v>
      </c>
      <c r="V19" t="str">
        <f>IFERROR(TEXT(TIMEVALUE(LEFT(Table2[[#This Row],[Thursday]],5)),"h:mm AM/PM")&amp;" - "&amp;TEXT(TIMEVALUE(RIGHT(Table2[[#This Row],[Thursday]],5)),"h:mm AM/PM"),"OFF")</f>
        <v>OFF</v>
      </c>
      <c r="W19" t="str">
        <f>IFERROR(TEXT(TIMEVALUE(LEFT(Table2[[#This Row],[Friday]],5)),"h:mm AM/PM")&amp;" - "&amp;TEXT(TIMEVALUE(RIGHT(Table2[[#This Row],[Friday]],5)),"h:mm AM/PM"),"OFF")</f>
        <v>9:00 am - 8:00 pm</v>
      </c>
      <c r="X19" t="str">
        <f>IFERROR(TEXT(TIMEVALUE(LEFT(Table2[[#This Row],[Saturday]],5)),"h:mm AM/PM")&amp;" - "&amp;TEXT(TIMEVALUE(RIGHT(Table2[[#This Row],[Saturday]],5)),"h:mm AM/PM"),"OFF")</f>
        <v>OFF</v>
      </c>
      <c r="Y19" t="str">
        <f>IFERROR(TEXT(TIMEVALUE(LEFT(Table2[[#This Row],[Sunday]],5)),"h:mm AM/PM")&amp;" - "&amp;TEXT(TIMEVALUE(RIGHT(Table2[[#This Row],[Sunday]],5)),"h:mm AM/PM"),"OFF")</f>
        <v>OFF</v>
      </c>
      <c r="Z19" t="str">
        <f t="shared" si="2"/>
        <v>Thu - Sat - Sun</v>
      </c>
      <c r="AA19" s="37">
        <f>Table2[[#This Row],[Break 1]]</f>
        <v>0.45833333333333331</v>
      </c>
      <c r="AB19" s="37">
        <f>Table2[[#This Row],[Break 2]]</f>
        <v>0.57291666666666663</v>
      </c>
      <c r="AC19" s="37">
        <f>Table2[[#This Row],[Lunch]]</f>
        <v>0.64583333333333337</v>
      </c>
      <c r="AD19" s="37">
        <f>Table2[[#This Row],[Break 3]]</f>
        <v>0.77083333333333337</v>
      </c>
      <c r="AE19" t="str">
        <f>Table2[[#This Row],[Supervisor]]</f>
        <v>Anmecha Valencia</v>
      </c>
      <c r="AF19" t="str">
        <f>IFERROR(TEXT(TIMEVALUE(LEFT(Table2[[#This Row],[EST SHIFT]],5)),"h:mm AM/PM")&amp;" - "&amp;TEXT(TIMEVALUE(RIGHT(Table2[[#This Row],[EST SHIFT]],5)),"h:mm AM/PM"),"OFF")</f>
        <v>9:00 am - 8:00 pm</v>
      </c>
      <c r="AG19">
        <f t="shared" si="3"/>
        <v>0</v>
      </c>
    </row>
    <row r="20" spans="1:33" x14ac:dyDescent="0.25">
      <c r="A20" s="6" t="s">
        <v>60</v>
      </c>
      <c r="B20" s="1" t="s">
        <v>36</v>
      </c>
      <c r="C20" s="1" t="s">
        <v>36</v>
      </c>
      <c r="D20" s="1" t="s">
        <v>18</v>
      </c>
      <c r="E20" s="1" t="s">
        <v>36</v>
      </c>
      <c r="F20" s="1" t="s">
        <v>36</v>
      </c>
      <c r="G20" s="1" t="s">
        <v>18</v>
      </c>
      <c r="H20" s="1" t="s">
        <v>18</v>
      </c>
      <c r="I20" s="2" t="s">
        <v>47</v>
      </c>
      <c r="J20" s="3">
        <v>0.48958333333333331</v>
      </c>
      <c r="K20" s="3">
        <v>0.57291666666666663</v>
      </c>
      <c r="L20" s="3">
        <v>0.66666666666666663</v>
      </c>
      <c r="M20" s="3">
        <v>0.75</v>
      </c>
      <c r="N20" s="4" t="s">
        <v>38</v>
      </c>
      <c r="O20" s="1" t="s">
        <v>36</v>
      </c>
      <c r="P20">
        <f t="shared" si="0"/>
        <v>0</v>
      </c>
      <c r="R20" t="str">
        <f>Table2[[#This Row],[Name]]</f>
        <v>Elijah Jeremy Racca</v>
      </c>
      <c r="S20" t="str">
        <f>IFERROR(TEXT(TIMEVALUE(LEFT(B20,5)),"h:mm AM/PM")&amp;" - "&amp;TEXT(TIMEVALUE(RIGHT(B20,5)),"h:mm AM/PM"),"OFF")</f>
        <v>9:00 am - 8:00 pm</v>
      </c>
      <c r="T20" t="str">
        <f>IFERROR(TEXT(TIMEVALUE(LEFT(Table2[[#This Row],[Tuesday]],5)),"h:mm AM/PM")&amp;" - "&amp;TEXT(TIMEVALUE(RIGHT(Table2[[#This Row],[Tuesday]],5)),"h:mm AM/PM"),"OFF")</f>
        <v>9:00 am - 8:00 pm</v>
      </c>
      <c r="U20" t="str">
        <f>IFERROR(TEXT(TIMEVALUE(LEFT(Table2[[#This Row],[Wednesday]],5)),"h:mm AM/PM")&amp;" - "&amp;TEXT(TIMEVALUE(RIGHT(Table2[[#This Row],[Wednesday]],5)),"h:mm AM/PM"),"OFF")</f>
        <v>OFF</v>
      </c>
      <c r="V20" t="str">
        <f>IFERROR(TEXT(TIMEVALUE(LEFT(Table2[[#This Row],[Thursday]],5)),"h:mm AM/PM")&amp;" - "&amp;TEXT(TIMEVALUE(RIGHT(Table2[[#This Row],[Thursday]],5)),"h:mm AM/PM"),"OFF")</f>
        <v>9:00 am - 8:00 pm</v>
      </c>
      <c r="W20" t="str">
        <f>IFERROR(TEXT(TIMEVALUE(LEFT(Table2[[#This Row],[Friday]],5)),"h:mm AM/PM")&amp;" - "&amp;TEXT(TIMEVALUE(RIGHT(Table2[[#This Row],[Friday]],5)),"h:mm AM/PM"),"OFF")</f>
        <v>9:00 am - 8:00 pm</v>
      </c>
      <c r="X20" t="str">
        <f>IFERROR(TEXT(TIMEVALUE(LEFT(Table2[[#This Row],[Saturday]],5)),"h:mm AM/PM")&amp;" - "&amp;TEXT(TIMEVALUE(RIGHT(Table2[[#This Row],[Saturday]],5)),"h:mm AM/PM"),"OFF")</f>
        <v>OFF</v>
      </c>
      <c r="Y20" t="str">
        <f>IFERROR(TEXT(TIMEVALUE(LEFT(Table2[[#This Row],[Sunday]],5)),"h:mm AM/PM")&amp;" - "&amp;TEXT(TIMEVALUE(RIGHT(Table2[[#This Row],[Sunday]],5)),"h:mm AM/PM"),"OFF")</f>
        <v>OFF</v>
      </c>
      <c r="Z20" t="str">
        <f t="shared" si="2"/>
        <v>Wed - Sat - Sun</v>
      </c>
      <c r="AA20" s="37">
        <f>Table2[[#This Row],[Break 1]]</f>
        <v>0.48958333333333331</v>
      </c>
      <c r="AB20" s="37">
        <f>Table2[[#This Row],[Break 2]]</f>
        <v>0.57291666666666663</v>
      </c>
      <c r="AC20" s="37">
        <f>Table2[[#This Row],[Lunch]]</f>
        <v>0.66666666666666663</v>
      </c>
      <c r="AD20" s="37">
        <f>Table2[[#This Row],[Break 3]]</f>
        <v>0.75</v>
      </c>
      <c r="AE20" t="str">
        <f>Table2[[#This Row],[Supervisor]]</f>
        <v>Anmecha Valencia</v>
      </c>
      <c r="AF20" t="str">
        <f>IFERROR(TEXT(TIMEVALUE(LEFT(Table2[[#This Row],[EST SHIFT]],5)),"h:mm AM/PM")&amp;" - "&amp;TEXT(TIMEVALUE(RIGHT(Table2[[#This Row],[EST SHIFT]],5)),"h:mm AM/PM"),"OFF")</f>
        <v>9:00 am - 8:00 pm</v>
      </c>
      <c r="AG20">
        <f t="shared" si="3"/>
        <v>0</v>
      </c>
    </row>
    <row r="21" spans="1:33" x14ac:dyDescent="0.25">
      <c r="A21" s="6" t="s">
        <v>61</v>
      </c>
      <c r="B21" s="1" t="s">
        <v>25</v>
      </c>
      <c r="C21" s="1" t="s">
        <v>25</v>
      </c>
      <c r="D21" s="1" t="s">
        <v>18</v>
      </c>
      <c r="E21" s="1" t="s">
        <v>25</v>
      </c>
      <c r="F21" s="1" t="s">
        <v>25</v>
      </c>
      <c r="G21" s="1" t="s">
        <v>18</v>
      </c>
      <c r="H21" s="1" t="s">
        <v>18</v>
      </c>
      <c r="I21" s="2" t="s">
        <v>47</v>
      </c>
      <c r="J21" s="3">
        <v>0.4375</v>
      </c>
      <c r="K21" s="3">
        <v>0.65625</v>
      </c>
      <c r="L21" s="3">
        <v>0.53125</v>
      </c>
      <c r="M21" s="3">
        <v>0.75</v>
      </c>
      <c r="N21" s="4" t="s">
        <v>34</v>
      </c>
      <c r="O21" s="1" t="s">
        <v>25</v>
      </c>
      <c r="P21">
        <f t="shared" si="0"/>
        <v>0</v>
      </c>
      <c r="R21" t="str">
        <f>Table2[[#This Row],[Name]]</f>
        <v>Eljhon Mar Cabalida</v>
      </c>
      <c r="S21" t="str">
        <f>IFERROR(TEXT(TIMEVALUE(LEFT(B21,5)),"h:mm AM/PM")&amp;" - "&amp;TEXT(TIMEVALUE(RIGHT(B21,5)),"h:mm AM/PM"),"OFF")</f>
        <v>8:00 am - 7:00 pm</v>
      </c>
      <c r="T21" t="str">
        <f>IFERROR(TEXT(TIMEVALUE(LEFT(Table2[[#This Row],[Tuesday]],5)),"h:mm AM/PM")&amp;" - "&amp;TEXT(TIMEVALUE(RIGHT(Table2[[#This Row],[Tuesday]],5)),"h:mm AM/PM"),"OFF")</f>
        <v>8:00 am - 7:00 pm</v>
      </c>
      <c r="U21" t="str">
        <f>IFERROR(TEXT(TIMEVALUE(LEFT(Table2[[#This Row],[Wednesday]],5)),"h:mm AM/PM")&amp;" - "&amp;TEXT(TIMEVALUE(RIGHT(Table2[[#This Row],[Wednesday]],5)),"h:mm AM/PM"),"OFF")</f>
        <v>OFF</v>
      </c>
      <c r="V21" t="str">
        <f>IFERROR(TEXT(TIMEVALUE(LEFT(Table2[[#This Row],[Thursday]],5)),"h:mm AM/PM")&amp;" - "&amp;TEXT(TIMEVALUE(RIGHT(Table2[[#This Row],[Thursday]],5)),"h:mm AM/PM"),"OFF")</f>
        <v>8:00 am - 7:00 pm</v>
      </c>
      <c r="W21" t="str">
        <f>IFERROR(TEXT(TIMEVALUE(LEFT(Table2[[#This Row],[Friday]],5)),"h:mm AM/PM")&amp;" - "&amp;TEXT(TIMEVALUE(RIGHT(Table2[[#This Row],[Friday]],5)),"h:mm AM/PM"),"OFF")</f>
        <v>8:00 am - 7:00 pm</v>
      </c>
      <c r="X21" t="str">
        <f>IFERROR(TEXT(TIMEVALUE(LEFT(Table2[[#This Row],[Saturday]],5)),"h:mm AM/PM")&amp;" - "&amp;TEXT(TIMEVALUE(RIGHT(Table2[[#This Row],[Saturday]],5)),"h:mm AM/PM"),"OFF")</f>
        <v>OFF</v>
      </c>
      <c r="Y21" t="str">
        <f>IFERROR(TEXT(TIMEVALUE(LEFT(Table2[[#This Row],[Sunday]],5)),"h:mm AM/PM")&amp;" - "&amp;TEXT(TIMEVALUE(RIGHT(Table2[[#This Row],[Sunday]],5)),"h:mm AM/PM"),"OFF")</f>
        <v>OFF</v>
      </c>
      <c r="Z21" t="str">
        <f t="shared" si="2"/>
        <v>Wed - Sat - Sun</v>
      </c>
      <c r="AA21" s="37">
        <f>Table2[[#This Row],[Break 1]]</f>
        <v>0.4375</v>
      </c>
      <c r="AB21" s="37">
        <f>Table2[[#This Row],[Break 2]]</f>
        <v>0.65625</v>
      </c>
      <c r="AC21" s="37">
        <f>Table2[[#This Row],[Lunch]]</f>
        <v>0.53125</v>
      </c>
      <c r="AD21" s="37">
        <f>Table2[[#This Row],[Break 3]]</f>
        <v>0.75</v>
      </c>
      <c r="AE21" t="str">
        <f>Table2[[#This Row],[Supervisor]]</f>
        <v>Michael Dominguez</v>
      </c>
      <c r="AF21" t="str">
        <f>IFERROR(TEXT(TIMEVALUE(LEFT(Table2[[#This Row],[EST SHIFT]],5)),"h:mm AM/PM")&amp;" - "&amp;TEXT(TIMEVALUE(RIGHT(Table2[[#This Row],[EST SHIFT]],5)),"h:mm AM/PM"),"OFF")</f>
        <v>8:00 am - 7:00 pm</v>
      </c>
      <c r="AG21">
        <f t="shared" si="3"/>
        <v>0</v>
      </c>
    </row>
    <row r="22" spans="1:33" x14ac:dyDescent="0.25">
      <c r="A22" s="6" t="s">
        <v>62</v>
      </c>
      <c r="B22" s="1" t="s">
        <v>63</v>
      </c>
      <c r="C22" s="1" t="s">
        <v>63</v>
      </c>
      <c r="D22" s="1" t="s">
        <v>18</v>
      </c>
      <c r="E22" s="1" t="s">
        <v>18</v>
      </c>
      <c r="F22" s="1" t="s">
        <v>63</v>
      </c>
      <c r="G22" s="1" t="s">
        <v>18</v>
      </c>
      <c r="H22" s="1" t="s">
        <v>63</v>
      </c>
      <c r="I22" s="2" t="s">
        <v>64</v>
      </c>
      <c r="J22" s="3">
        <v>0.89583333333333337</v>
      </c>
      <c r="K22" s="3">
        <v>0.10416666666666667</v>
      </c>
      <c r="L22" s="3">
        <v>0.97916666666666663</v>
      </c>
      <c r="M22" s="3">
        <v>0.1875</v>
      </c>
      <c r="N22" s="4" t="s">
        <v>42</v>
      </c>
      <c r="O22" s="1" t="s">
        <v>63</v>
      </c>
      <c r="P22">
        <f t="shared" si="0"/>
        <v>1</v>
      </c>
      <c r="R22" t="str">
        <f>Table2[[#This Row],[Name]]</f>
        <v>France Bajao</v>
      </c>
      <c r="S22" t="str">
        <f>IFERROR(TEXT(TIMEVALUE(LEFT(B22,5)),"h:mm AM/PM")&amp;" - "&amp;TEXT(TIMEVALUE(RIGHT(B22,5)),"h:mm AM/PM"),"OFF")</f>
        <v>6:00 pm - 5:00 am</v>
      </c>
      <c r="T22" t="str">
        <f>IFERROR(TEXT(TIMEVALUE(LEFT(Table2[[#This Row],[Tuesday]],5)),"h:mm AM/PM")&amp;" - "&amp;TEXT(TIMEVALUE(RIGHT(Table2[[#This Row],[Tuesday]],5)),"h:mm AM/PM"),"OFF")</f>
        <v>6:00 pm - 5:00 am</v>
      </c>
      <c r="U22" t="str">
        <f>IFERROR(TEXT(TIMEVALUE(LEFT(Table2[[#This Row],[Wednesday]],5)),"h:mm AM/PM")&amp;" - "&amp;TEXT(TIMEVALUE(RIGHT(Table2[[#This Row],[Wednesday]],5)),"h:mm AM/PM"),"OFF")</f>
        <v>OFF</v>
      </c>
      <c r="V22" t="str">
        <f>IFERROR(TEXT(TIMEVALUE(LEFT(Table2[[#This Row],[Thursday]],5)),"h:mm AM/PM")&amp;" - "&amp;TEXT(TIMEVALUE(RIGHT(Table2[[#This Row],[Thursday]],5)),"h:mm AM/PM"),"OFF")</f>
        <v>OFF</v>
      </c>
      <c r="W22" t="str">
        <f>IFERROR(TEXT(TIMEVALUE(LEFT(Table2[[#This Row],[Friday]],5)),"h:mm AM/PM")&amp;" - "&amp;TEXT(TIMEVALUE(RIGHT(Table2[[#This Row],[Friday]],5)),"h:mm AM/PM"),"OFF")</f>
        <v>6:00 pm - 5:00 am</v>
      </c>
      <c r="X22" t="str">
        <f>IFERROR(TEXT(TIMEVALUE(LEFT(Table2[[#This Row],[Saturday]],5)),"h:mm AM/PM")&amp;" - "&amp;TEXT(TIMEVALUE(RIGHT(Table2[[#This Row],[Saturday]],5)),"h:mm AM/PM"),"OFF")</f>
        <v>OFF</v>
      </c>
      <c r="Y22" t="str">
        <f>IFERROR(TEXT(TIMEVALUE(LEFT(Table2[[#This Row],[Sunday]],5)),"h:mm AM/PM")&amp;" - "&amp;TEXT(TIMEVALUE(RIGHT(Table2[[#This Row],[Sunday]],5)),"h:mm AM/PM"),"OFF")</f>
        <v>6:00 pm - 5:00 am</v>
      </c>
      <c r="Z22" t="str">
        <f t="shared" si="2"/>
        <v>Wed - Thu - Sat</v>
      </c>
      <c r="AA22" s="37">
        <f>Table2[[#This Row],[Break 1]]</f>
        <v>0.89583333333333337</v>
      </c>
      <c r="AB22" s="37">
        <f>Table2[[#This Row],[Break 2]]</f>
        <v>0.10416666666666667</v>
      </c>
      <c r="AC22" s="37">
        <f>Table2[[#This Row],[Lunch]]</f>
        <v>0.97916666666666663</v>
      </c>
      <c r="AD22" s="37">
        <f>Table2[[#This Row],[Break 3]]</f>
        <v>0.1875</v>
      </c>
      <c r="AE22" t="str">
        <f>Table2[[#This Row],[Supervisor]]</f>
        <v>Christopher Rodas</v>
      </c>
      <c r="AF22" t="str">
        <f>IFERROR(TEXT(TIMEVALUE(LEFT(Table2[[#This Row],[EST SHIFT]],5)),"h:mm AM/PM")&amp;" - "&amp;TEXT(TIMEVALUE(RIGHT(Table2[[#This Row],[EST SHIFT]],5)),"h:mm AM/PM"),"OFF")</f>
        <v>6:00 pm - 5:00 am</v>
      </c>
      <c r="AG22">
        <f t="shared" si="3"/>
        <v>1</v>
      </c>
    </row>
    <row r="23" spans="1:33" x14ac:dyDescent="0.25">
      <c r="A23" s="6" t="s">
        <v>65</v>
      </c>
      <c r="B23" s="1" t="s">
        <v>66</v>
      </c>
      <c r="C23" s="1" t="s">
        <v>66</v>
      </c>
      <c r="D23" s="1" t="s">
        <v>66</v>
      </c>
      <c r="E23" s="1" t="s">
        <v>66</v>
      </c>
      <c r="F23" s="1" t="s">
        <v>18</v>
      </c>
      <c r="G23" s="1" t="s">
        <v>18</v>
      </c>
      <c r="H23" s="1" t="s">
        <v>18</v>
      </c>
      <c r="I23" s="2" t="s">
        <v>30</v>
      </c>
      <c r="J23" s="3">
        <v>0.34375</v>
      </c>
      <c r="K23" s="3">
        <v>0.5625</v>
      </c>
      <c r="L23" s="3">
        <v>0.4375</v>
      </c>
      <c r="M23" s="3">
        <v>0.65625</v>
      </c>
      <c r="N23" s="7" t="s">
        <v>20</v>
      </c>
      <c r="O23" s="1" t="s">
        <v>66</v>
      </c>
      <c r="P23">
        <f t="shared" si="0"/>
        <v>0</v>
      </c>
      <c r="R23" t="str">
        <f>Table2[[#This Row],[Name]]</f>
        <v>Giselle Florendo</v>
      </c>
      <c r="S23" t="str">
        <f>IFERROR(TEXT(TIMEVALUE(LEFT(B23,5)),"h:mm AM/PM")&amp;" - "&amp;TEXT(TIMEVALUE(RIGHT(B23,5)),"h:mm AM/PM"),"OFF")</f>
        <v>6:00 am - 5:00 pm</v>
      </c>
      <c r="T23" t="str">
        <f>IFERROR(TEXT(TIMEVALUE(LEFT(Table2[[#This Row],[Tuesday]],5)),"h:mm AM/PM")&amp;" - "&amp;TEXT(TIMEVALUE(RIGHT(Table2[[#This Row],[Tuesday]],5)),"h:mm AM/PM"),"OFF")</f>
        <v>6:00 am - 5:00 pm</v>
      </c>
      <c r="U23" t="str">
        <f>IFERROR(TEXT(TIMEVALUE(LEFT(Table2[[#This Row],[Wednesday]],5)),"h:mm AM/PM")&amp;" - "&amp;TEXT(TIMEVALUE(RIGHT(Table2[[#This Row],[Wednesday]],5)),"h:mm AM/PM"),"OFF")</f>
        <v>6:00 am - 5:00 pm</v>
      </c>
      <c r="V23" t="str">
        <f>IFERROR(TEXT(TIMEVALUE(LEFT(Table2[[#This Row],[Thursday]],5)),"h:mm AM/PM")&amp;" - "&amp;TEXT(TIMEVALUE(RIGHT(Table2[[#This Row],[Thursday]],5)),"h:mm AM/PM"),"OFF")</f>
        <v>6:00 am - 5:00 pm</v>
      </c>
      <c r="W23" t="str">
        <f>IFERROR(TEXT(TIMEVALUE(LEFT(Table2[[#This Row],[Friday]],5)),"h:mm AM/PM")&amp;" - "&amp;TEXT(TIMEVALUE(RIGHT(Table2[[#This Row],[Friday]],5)),"h:mm AM/PM"),"OFF")</f>
        <v>OFF</v>
      </c>
      <c r="X23" t="str">
        <f>IFERROR(TEXT(TIMEVALUE(LEFT(Table2[[#This Row],[Saturday]],5)),"h:mm AM/PM")&amp;" - "&amp;TEXT(TIMEVALUE(RIGHT(Table2[[#This Row],[Saturday]],5)),"h:mm AM/PM"),"OFF")</f>
        <v>OFF</v>
      </c>
      <c r="Y23" t="str">
        <f>IFERROR(TEXT(TIMEVALUE(LEFT(Table2[[#This Row],[Sunday]],5)),"h:mm AM/PM")&amp;" - "&amp;TEXT(TIMEVALUE(RIGHT(Table2[[#This Row],[Sunday]],5)),"h:mm AM/PM"),"OFF")</f>
        <v>OFF</v>
      </c>
      <c r="Z23" t="str">
        <f t="shared" si="2"/>
        <v>Fri - Sat - Sun</v>
      </c>
      <c r="AA23" s="37">
        <f>Table2[[#This Row],[Break 1]]</f>
        <v>0.34375</v>
      </c>
      <c r="AB23" s="37">
        <f>Table2[[#This Row],[Break 2]]</f>
        <v>0.5625</v>
      </c>
      <c r="AC23" s="37">
        <f>Table2[[#This Row],[Lunch]]</f>
        <v>0.4375</v>
      </c>
      <c r="AD23" s="37">
        <f>Table2[[#This Row],[Break 3]]</f>
        <v>0.65625</v>
      </c>
      <c r="AE23" t="str">
        <f>Table2[[#This Row],[Supervisor]]</f>
        <v>Remmo Panaligan</v>
      </c>
      <c r="AF23" t="str">
        <f>IFERROR(TEXT(TIMEVALUE(LEFT(Table2[[#This Row],[EST SHIFT]],5)),"h:mm AM/PM")&amp;" - "&amp;TEXT(TIMEVALUE(RIGHT(Table2[[#This Row],[EST SHIFT]],5)),"h:mm AM/PM"),"OFF")</f>
        <v>6:00 am - 5:00 pm</v>
      </c>
      <c r="AG23">
        <f t="shared" si="3"/>
        <v>0</v>
      </c>
    </row>
    <row r="24" spans="1:33" x14ac:dyDescent="0.25">
      <c r="A24" s="6" t="s">
        <v>67</v>
      </c>
      <c r="B24" s="1" t="s">
        <v>68</v>
      </c>
      <c r="C24" s="1" t="s">
        <v>68</v>
      </c>
      <c r="D24" s="1" t="s">
        <v>68</v>
      </c>
      <c r="E24" s="1" t="s">
        <v>18</v>
      </c>
      <c r="F24" s="1" t="s">
        <v>18</v>
      </c>
      <c r="G24" s="1" t="s">
        <v>18</v>
      </c>
      <c r="H24" s="1" t="s">
        <v>68</v>
      </c>
      <c r="I24" s="2" t="s">
        <v>23</v>
      </c>
      <c r="J24" s="3">
        <v>0.30208333333333331</v>
      </c>
      <c r="K24" s="3">
        <v>0.54166666666666663</v>
      </c>
      <c r="L24" s="3">
        <v>0.41666666666666669</v>
      </c>
      <c r="M24" s="3">
        <v>0.64583333333333337</v>
      </c>
      <c r="N24" s="4" t="s">
        <v>42</v>
      </c>
      <c r="O24" s="1" t="s">
        <v>68</v>
      </c>
      <c r="P24">
        <f t="shared" si="0"/>
        <v>0</v>
      </c>
      <c r="R24" t="str">
        <f>Table2[[#This Row],[Name]]</f>
        <v>Jackyleen Caballero</v>
      </c>
      <c r="S24" t="str">
        <f>IFERROR(TEXT(TIMEVALUE(LEFT(B24,5)),"h:mm AM/PM")&amp;" - "&amp;TEXT(TIMEVALUE(RIGHT(B24,5)),"h:mm AM/PM"),"OFF")</f>
        <v>5:00 am - 4:00 pm</v>
      </c>
      <c r="T24" t="str">
        <f>IFERROR(TEXT(TIMEVALUE(LEFT(Table2[[#This Row],[Tuesday]],5)),"h:mm AM/PM")&amp;" - "&amp;TEXT(TIMEVALUE(RIGHT(Table2[[#This Row],[Tuesday]],5)),"h:mm AM/PM"),"OFF")</f>
        <v>5:00 am - 4:00 pm</v>
      </c>
      <c r="U24" t="str">
        <f>IFERROR(TEXT(TIMEVALUE(LEFT(Table2[[#This Row],[Wednesday]],5)),"h:mm AM/PM")&amp;" - "&amp;TEXT(TIMEVALUE(RIGHT(Table2[[#This Row],[Wednesday]],5)),"h:mm AM/PM"),"OFF")</f>
        <v>5:00 am - 4:00 pm</v>
      </c>
      <c r="V24" t="str">
        <f>IFERROR(TEXT(TIMEVALUE(LEFT(Table2[[#This Row],[Thursday]],5)),"h:mm AM/PM")&amp;" - "&amp;TEXT(TIMEVALUE(RIGHT(Table2[[#This Row],[Thursday]],5)),"h:mm AM/PM"),"OFF")</f>
        <v>OFF</v>
      </c>
      <c r="W24" t="str">
        <f>IFERROR(TEXT(TIMEVALUE(LEFT(Table2[[#This Row],[Friday]],5)),"h:mm AM/PM")&amp;" - "&amp;TEXT(TIMEVALUE(RIGHT(Table2[[#This Row],[Friday]],5)),"h:mm AM/PM"),"OFF")</f>
        <v>OFF</v>
      </c>
      <c r="X24" t="str">
        <f>IFERROR(TEXT(TIMEVALUE(LEFT(Table2[[#This Row],[Saturday]],5)),"h:mm AM/PM")&amp;" - "&amp;TEXT(TIMEVALUE(RIGHT(Table2[[#This Row],[Saturday]],5)),"h:mm AM/PM"),"OFF")</f>
        <v>OFF</v>
      </c>
      <c r="Y24" t="str">
        <f>IFERROR(TEXT(TIMEVALUE(LEFT(Table2[[#This Row],[Sunday]],5)),"h:mm AM/PM")&amp;" - "&amp;TEXT(TIMEVALUE(RIGHT(Table2[[#This Row],[Sunday]],5)),"h:mm AM/PM"),"OFF")</f>
        <v>5:00 am - 4:00 pm</v>
      </c>
      <c r="Z24" t="str">
        <f t="shared" si="2"/>
        <v>Thu - Fri - Sat</v>
      </c>
      <c r="AA24" s="37">
        <f>Table2[[#This Row],[Break 1]]</f>
        <v>0.30208333333333331</v>
      </c>
      <c r="AB24" s="37">
        <f>Table2[[#This Row],[Break 2]]</f>
        <v>0.54166666666666663</v>
      </c>
      <c r="AC24" s="37">
        <f>Table2[[#This Row],[Lunch]]</f>
        <v>0.41666666666666669</v>
      </c>
      <c r="AD24" s="37">
        <f>Table2[[#This Row],[Break 3]]</f>
        <v>0.64583333333333337</v>
      </c>
      <c r="AE24" t="str">
        <f>Table2[[#This Row],[Supervisor]]</f>
        <v>Christopher Rodas</v>
      </c>
      <c r="AF24" t="str">
        <f>IFERROR(TEXT(TIMEVALUE(LEFT(Table2[[#This Row],[EST SHIFT]],5)),"h:mm AM/PM")&amp;" - "&amp;TEXT(TIMEVALUE(RIGHT(Table2[[#This Row],[EST SHIFT]],5)),"h:mm AM/PM"),"OFF")</f>
        <v>5:00 am - 4:00 pm</v>
      </c>
      <c r="AG24">
        <f t="shared" si="3"/>
        <v>0</v>
      </c>
    </row>
    <row r="25" spans="1:33" x14ac:dyDescent="0.25">
      <c r="A25" s="6" t="s">
        <v>69</v>
      </c>
      <c r="B25" s="1" t="s">
        <v>70</v>
      </c>
      <c r="C25" s="1" t="s">
        <v>70</v>
      </c>
      <c r="D25" s="1" t="s">
        <v>70</v>
      </c>
      <c r="E25" s="1" t="s">
        <v>70</v>
      </c>
      <c r="F25" s="1" t="s">
        <v>18</v>
      </c>
      <c r="G25" s="1" t="s">
        <v>18</v>
      </c>
      <c r="H25" s="1" t="s">
        <v>18</v>
      </c>
      <c r="I25" s="2" t="s">
        <v>30</v>
      </c>
      <c r="J25" s="3">
        <v>0.51041666666666663</v>
      </c>
      <c r="K25" s="3">
        <v>0.59375</v>
      </c>
      <c r="L25" s="3">
        <v>0.6875</v>
      </c>
      <c r="M25" s="3">
        <v>0.8125</v>
      </c>
      <c r="N25" s="4" t="s">
        <v>34</v>
      </c>
      <c r="O25" s="1" t="s">
        <v>70</v>
      </c>
      <c r="P25">
        <f t="shared" si="0"/>
        <v>0</v>
      </c>
      <c r="R25" t="str">
        <f>Table2[[#This Row],[Name]]</f>
        <v>James Kim Malatag</v>
      </c>
      <c r="S25" t="str">
        <f>IFERROR(TEXT(TIMEVALUE(LEFT(B25,5)),"h:mm AM/PM")&amp;" - "&amp;TEXT(TIMEVALUE(RIGHT(B25,5)),"h:mm AM/PM"),"OFF")</f>
        <v>10:00 am - 9:00 pm</v>
      </c>
      <c r="T25" t="str">
        <f>IFERROR(TEXT(TIMEVALUE(LEFT(Table2[[#This Row],[Tuesday]],5)),"h:mm AM/PM")&amp;" - "&amp;TEXT(TIMEVALUE(RIGHT(Table2[[#This Row],[Tuesday]],5)),"h:mm AM/PM"),"OFF")</f>
        <v>10:00 am - 9:00 pm</v>
      </c>
      <c r="U25" t="str">
        <f>IFERROR(TEXT(TIMEVALUE(LEFT(Table2[[#This Row],[Wednesday]],5)),"h:mm AM/PM")&amp;" - "&amp;TEXT(TIMEVALUE(RIGHT(Table2[[#This Row],[Wednesday]],5)),"h:mm AM/PM"),"OFF")</f>
        <v>10:00 am - 9:00 pm</v>
      </c>
      <c r="V25" t="str">
        <f>IFERROR(TEXT(TIMEVALUE(LEFT(Table2[[#This Row],[Thursday]],5)),"h:mm AM/PM")&amp;" - "&amp;TEXT(TIMEVALUE(RIGHT(Table2[[#This Row],[Thursday]],5)),"h:mm AM/PM"),"OFF")</f>
        <v>10:00 am - 9:00 pm</v>
      </c>
      <c r="W25" t="str">
        <f>IFERROR(TEXT(TIMEVALUE(LEFT(Table2[[#This Row],[Friday]],5)),"h:mm AM/PM")&amp;" - "&amp;TEXT(TIMEVALUE(RIGHT(Table2[[#This Row],[Friday]],5)),"h:mm AM/PM"),"OFF")</f>
        <v>OFF</v>
      </c>
      <c r="X25" t="str">
        <f>IFERROR(TEXT(TIMEVALUE(LEFT(Table2[[#This Row],[Saturday]],5)),"h:mm AM/PM")&amp;" - "&amp;TEXT(TIMEVALUE(RIGHT(Table2[[#This Row],[Saturday]],5)),"h:mm AM/PM"),"OFF")</f>
        <v>OFF</v>
      </c>
      <c r="Y25" t="str">
        <f>IFERROR(TEXT(TIMEVALUE(LEFT(Table2[[#This Row],[Sunday]],5)),"h:mm AM/PM")&amp;" - "&amp;TEXT(TIMEVALUE(RIGHT(Table2[[#This Row],[Sunday]],5)),"h:mm AM/PM"),"OFF")</f>
        <v>OFF</v>
      </c>
      <c r="Z25" t="str">
        <f t="shared" si="2"/>
        <v>Fri - Sat - Sun</v>
      </c>
      <c r="AA25" s="37">
        <f>Table2[[#This Row],[Break 1]]</f>
        <v>0.51041666666666663</v>
      </c>
      <c r="AB25" s="37">
        <f>Table2[[#This Row],[Break 2]]</f>
        <v>0.59375</v>
      </c>
      <c r="AC25" s="37">
        <f>Table2[[#This Row],[Lunch]]</f>
        <v>0.6875</v>
      </c>
      <c r="AD25" s="37">
        <f>Table2[[#This Row],[Break 3]]</f>
        <v>0.8125</v>
      </c>
      <c r="AE25" t="str">
        <f>Table2[[#This Row],[Supervisor]]</f>
        <v>Michael Dominguez</v>
      </c>
      <c r="AF25" t="str">
        <f>IFERROR(TEXT(TIMEVALUE(LEFT(Table2[[#This Row],[EST SHIFT]],5)),"h:mm AM/PM")&amp;" - "&amp;TEXT(TIMEVALUE(RIGHT(Table2[[#This Row],[EST SHIFT]],5)),"h:mm AM/PM"),"OFF")</f>
        <v>10:00 am - 9:00 pm</v>
      </c>
      <c r="AG25">
        <f t="shared" si="3"/>
        <v>0</v>
      </c>
    </row>
    <row r="26" spans="1:33" x14ac:dyDescent="0.25">
      <c r="A26" s="6" t="s">
        <v>71</v>
      </c>
      <c r="B26" s="1" t="s">
        <v>25</v>
      </c>
      <c r="C26" s="1" t="s">
        <v>25</v>
      </c>
      <c r="D26" s="1" t="s">
        <v>18</v>
      </c>
      <c r="E26" s="1" t="s">
        <v>25</v>
      </c>
      <c r="F26" s="1" t="s">
        <v>25</v>
      </c>
      <c r="G26" s="1" t="s">
        <v>18</v>
      </c>
      <c r="H26" s="1" t="s">
        <v>18</v>
      </c>
      <c r="I26" s="2" t="s">
        <v>47</v>
      </c>
      <c r="J26" s="3">
        <v>0.42708333333333331</v>
      </c>
      <c r="K26" s="3">
        <v>0.65625</v>
      </c>
      <c r="L26" s="3">
        <v>0.53125</v>
      </c>
      <c r="M26" s="3">
        <v>0.75</v>
      </c>
      <c r="N26" s="4" t="s">
        <v>20</v>
      </c>
      <c r="O26" s="1" t="s">
        <v>25</v>
      </c>
      <c r="P26">
        <f t="shared" si="0"/>
        <v>0</v>
      </c>
      <c r="R26" t="str">
        <f>Table2[[#This Row],[Name]]</f>
        <v>James Matthew Santos</v>
      </c>
      <c r="S26" t="str">
        <f>IFERROR(TEXT(TIMEVALUE(LEFT(B26,5)),"h:mm AM/PM")&amp;" - "&amp;TEXT(TIMEVALUE(RIGHT(B26,5)),"h:mm AM/PM"),"OFF")</f>
        <v>8:00 am - 7:00 pm</v>
      </c>
      <c r="T26" t="str">
        <f>IFERROR(TEXT(TIMEVALUE(LEFT(Table2[[#This Row],[Tuesday]],5)),"h:mm AM/PM")&amp;" - "&amp;TEXT(TIMEVALUE(RIGHT(Table2[[#This Row],[Tuesday]],5)),"h:mm AM/PM"),"OFF")</f>
        <v>8:00 am - 7:00 pm</v>
      </c>
      <c r="U26" t="str">
        <f>IFERROR(TEXT(TIMEVALUE(LEFT(Table2[[#This Row],[Wednesday]],5)),"h:mm AM/PM")&amp;" - "&amp;TEXT(TIMEVALUE(RIGHT(Table2[[#This Row],[Wednesday]],5)),"h:mm AM/PM"),"OFF")</f>
        <v>OFF</v>
      </c>
      <c r="V26" t="str">
        <f>IFERROR(TEXT(TIMEVALUE(LEFT(Table2[[#This Row],[Thursday]],5)),"h:mm AM/PM")&amp;" - "&amp;TEXT(TIMEVALUE(RIGHT(Table2[[#This Row],[Thursday]],5)),"h:mm AM/PM"),"OFF")</f>
        <v>8:00 am - 7:00 pm</v>
      </c>
      <c r="W26" t="str">
        <f>IFERROR(TEXT(TIMEVALUE(LEFT(Table2[[#This Row],[Friday]],5)),"h:mm AM/PM")&amp;" - "&amp;TEXT(TIMEVALUE(RIGHT(Table2[[#This Row],[Friday]],5)),"h:mm AM/PM"),"OFF")</f>
        <v>8:00 am - 7:00 pm</v>
      </c>
      <c r="X26" t="str">
        <f>IFERROR(TEXT(TIMEVALUE(LEFT(Table2[[#This Row],[Saturday]],5)),"h:mm AM/PM")&amp;" - "&amp;TEXT(TIMEVALUE(RIGHT(Table2[[#This Row],[Saturday]],5)),"h:mm AM/PM"),"OFF")</f>
        <v>OFF</v>
      </c>
      <c r="Y26" t="str">
        <f>IFERROR(TEXT(TIMEVALUE(LEFT(Table2[[#This Row],[Sunday]],5)),"h:mm AM/PM")&amp;" - "&amp;TEXT(TIMEVALUE(RIGHT(Table2[[#This Row],[Sunday]],5)),"h:mm AM/PM"),"OFF")</f>
        <v>OFF</v>
      </c>
      <c r="Z26" t="str">
        <f t="shared" si="2"/>
        <v>Wed - Sat - Sun</v>
      </c>
      <c r="AA26" s="37">
        <f>Table2[[#This Row],[Break 1]]</f>
        <v>0.42708333333333331</v>
      </c>
      <c r="AB26" s="37">
        <f>Table2[[#This Row],[Break 2]]</f>
        <v>0.65625</v>
      </c>
      <c r="AC26" s="37">
        <f>Table2[[#This Row],[Lunch]]</f>
        <v>0.53125</v>
      </c>
      <c r="AD26" s="37">
        <f>Table2[[#This Row],[Break 3]]</f>
        <v>0.75</v>
      </c>
      <c r="AE26" t="str">
        <f>Table2[[#This Row],[Supervisor]]</f>
        <v>Remmo Panaligan</v>
      </c>
      <c r="AF26" t="str">
        <f>IFERROR(TEXT(TIMEVALUE(LEFT(Table2[[#This Row],[EST SHIFT]],5)),"h:mm AM/PM")&amp;" - "&amp;TEXT(TIMEVALUE(RIGHT(Table2[[#This Row],[EST SHIFT]],5)),"h:mm AM/PM"),"OFF")</f>
        <v>8:00 am - 7:00 pm</v>
      </c>
      <c r="AG26">
        <f t="shared" si="3"/>
        <v>0</v>
      </c>
    </row>
    <row r="27" spans="1:33" x14ac:dyDescent="0.25">
      <c r="A27" s="6" t="s">
        <v>72</v>
      </c>
      <c r="B27" s="1" t="s">
        <v>58</v>
      </c>
      <c r="C27" s="1" t="s">
        <v>58</v>
      </c>
      <c r="D27" s="1" t="s">
        <v>58</v>
      </c>
      <c r="E27" s="1" t="s">
        <v>58</v>
      </c>
      <c r="F27" s="1" t="s">
        <v>18</v>
      </c>
      <c r="G27" s="1" t="s">
        <v>18</v>
      </c>
      <c r="H27" s="1" t="s">
        <v>18</v>
      </c>
      <c r="I27" s="2" t="s">
        <v>30</v>
      </c>
      <c r="J27" s="3">
        <v>0.54166666666666663</v>
      </c>
      <c r="K27" s="3">
        <v>0.76041666666666663</v>
      </c>
      <c r="L27" s="3">
        <v>0.63541666666666663</v>
      </c>
      <c r="M27" s="3">
        <v>0.86458333333333337</v>
      </c>
      <c r="N27" s="4" t="s">
        <v>20</v>
      </c>
      <c r="O27" s="1" t="s">
        <v>58</v>
      </c>
      <c r="P27">
        <f t="shared" si="0"/>
        <v>0</v>
      </c>
      <c r="R27" t="str">
        <f>Table2[[#This Row],[Name]]</f>
        <v>Jayson Pescadero</v>
      </c>
      <c r="S27" t="str">
        <f>IFERROR(TEXT(TIMEVALUE(LEFT(B27,5)),"h:mm AM/PM")&amp;" - "&amp;TEXT(TIMEVALUE(RIGHT(B27,5)),"h:mm AM/PM"),"OFF")</f>
        <v>11:00 am - 10:00 pm</v>
      </c>
      <c r="T27" t="str">
        <f>IFERROR(TEXT(TIMEVALUE(LEFT(Table2[[#This Row],[Tuesday]],5)),"h:mm AM/PM")&amp;" - "&amp;TEXT(TIMEVALUE(RIGHT(Table2[[#This Row],[Tuesday]],5)),"h:mm AM/PM"),"OFF")</f>
        <v>11:00 am - 10:00 pm</v>
      </c>
      <c r="U27" t="str">
        <f>IFERROR(TEXT(TIMEVALUE(LEFT(Table2[[#This Row],[Wednesday]],5)),"h:mm AM/PM")&amp;" - "&amp;TEXT(TIMEVALUE(RIGHT(Table2[[#This Row],[Wednesday]],5)),"h:mm AM/PM"),"OFF")</f>
        <v>11:00 am - 10:00 pm</v>
      </c>
      <c r="V27" t="str">
        <f>IFERROR(TEXT(TIMEVALUE(LEFT(Table2[[#This Row],[Thursday]],5)),"h:mm AM/PM")&amp;" - "&amp;TEXT(TIMEVALUE(RIGHT(Table2[[#This Row],[Thursday]],5)),"h:mm AM/PM"),"OFF")</f>
        <v>11:00 am - 10:00 pm</v>
      </c>
      <c r="W27" t="str">
        <f>IFERROR(TEXT(TIMEVALUE(LEFT(Table2[[#This Row],[Friday]],5)),"h:mm AM/PM")&amp;" - "&amp;TEXT(TIMEVALUE(RIGHT(Table2[[#This Row],[Friday]],5)),"h:mm AM/PM"),"OFF")</f>
        <v>OFF</v>
      </c>
      <c r="X27" t="str">
        <f>IFERROR(TEXT(TIMEVALUE(LEFT(Table2[[#This Row],[Saturday]],5)),"h:mm AM/PM")&amp;" - "&amp;TEXT(TIMEVALUE(RIGHT(Table2[[#This Row],[Saturday]],5)),"h:mm AM/PM"),"OFF")</f>
        <v>OFF</v>
      </c>
      <c r="Y27" t="str">
        <f>IFERROR(TEXT(TIMEVALUE(LEFT(Table2[[#This Row],[Sunday]],5)),"h:mm AM/PM")&amp;" - "&amp;TEXT(TIMEVALUE(RIGHT(Table2[[#This Row],[Sunday]],5)),"h:mm AM/PM"),"OFF")</f>
        <v>OFF</v>
      </c>
      <c r="Z27" t="str">
        <f t="shared" si="2"/>
        <v>Fri - Sat - Sun</v>
      </c>
      <c r="AA27" s="37">
        <f>Table2[[#This Row],[Break 1]]</f>
        <v>0.54166666666666663</v>
      </c>
      <c r="AB27" s="37">
        <f>Table2[[#This Row],[Break 2]]</f>
        <v>0.76041666666666663</v>
      </c>
      <c r="AC27" s="37">
        <f>Table2[[#This Row],[Lunch]]</f>
        <v>0.63541666666666663</v>
      </c>
      <c r="AD27" s="37">
        <f>Table2[[#This Row],[Break 3]]</f>
        <v>0.86458333333333337</v>
      </c>
      <c r="AE27" t="str">
        <f>Table2[[#This Row],[Supervisor]]</f>
        <v>Remmo Panaligan</v>
      </c>
      <c r="AF27" t="str">
        <f>IFERROR(TEXT(TIMEVALUE(LEFT(Table2[[#This Row],[EST SHIFT]],5)),"h:mm AM/PM")&amp;" - "&amp;TEXT(TIMEVALUE(RIGHT(Table2[[#This Row],[EST SHIFT]],5)),"h:mm AM/PM"),"OFF")</f>
        <v>11:00 am - 10:00 pm</v>
      </c>
      <c r="AG27">
        <f t="shared" si="3"/>
        <v>0</v>
      </c>
    </row>
    <row r="28" spans="1:33" x14ac:dyDescent="0.25">
      <c r="A28" s="6" t="s">
        <v>73</v>
      </c>
      <c r="B28" s="1" t="s">
        <v>74</v>
      </c>
      <c r="C28" s="1" t="s">
        <v>74</v>
      </c>
      <c r="D28" s="1" t="s">
        <v>74</v>
      </c>
      <c r="E28" s="1" t="s">
        <v>18</v>
      </c>
      <c r="F28" s="1" t="s">
        <v>18</v>
      </c>
      <c r="G28" s="1" t="s">
        <v>18</v>
      </c>
      <c r="H28" s="1" t="s">
        <v>74</v>
      </c>
      <c r="I28" s="2" t="s">
        <v>23</v>
      </c>
      <c r="J28" s="3">
        <v>0.15625</v>
      </c>
      <c r="K28" s="3">
        <v>0.375</v>
      </c>
      <c r="L28" s="3">
        <v>0.25</v>
      </c>
      <c r="M28" s="3">
        <v>0.47916666666666669</v>
      </c>
      <c r="N28" s="4" t="s">
        <v>42</v>
      </c>
      <c r="O28" s="1" t="s">
        <v>74</v>
      </c>
      <c r="P28">
        <f t="shared" si="0"/>
        <v>0</v>
      </c>
      <c r="R28" t="str">
        <f>Table2[[#This Row],[Name]]</f>
        <v>Jeffryl Joe Pardillo</v>
      </c>
      <c r="S28" t="str">
        <f>IFERROR(TEXT(TIMEVALUE(LEFT(B28,5)),"h:mm AM/PM")&amp;" - "&amp;TEXT(TIMEVALUE(RIGHT(B28,5)),"h:mm AM/PM"),"OFF")</f>
        <v>2:00 am - 1:00 pm</v>
      </c>
      <c r="T28" t="str">
        <f>IFERROR(TEXT(TIMEVALUE(LEFT(Table2[[#This Row],[Tuesday]],5)),"h:mm AM/PM")&amp;" - "&amp;TEXT(TIMEVALUE(RIGHT(Table2[[#This Row],[Tuesday]],5)),"h:mm AM/PM"),"OFF")</f>
        <v>2:00 am - 1:00 pm</v>
      </c>
      <c r="U28" t="str">
        <f>IFERROR(TEXT(TIMEVALUE(LEFT(Table2[[#This Row],[Wednesday]],5)),"h:mm AM/PM")&amp;" - "&amp;TEXT(TIMEVALUE(RIGHT(Table2[[#This Row],[Wednesday]],5)),"h:mm AM/PM"),"OFF")</f>
        <v>2:00 am - 1:00 pm</v>
      </c>
      <c r="V28" t="str">
        <f>IFERROR(TEXT(TIMEVALUE(LEFT(Table2[[#This Row],[Thursday]],5)),"h:mm AM/PM")&amp;" - "&amp;TEXT(TIMEVALUE(RIGHT(Table2[[#This Row],[Thursday]],5)),"h:mm AM/PM"),"OFF")</f>
        <v>OFF</v>
      </c>
      <c r="W28" t="str">
        <f>IFERROR(TEXT(TIMEVALUE(LEFT(Table2[[#This Row],[Friday]],5)),"h:mm AM/PM")&amp;" - "&amp;TEXT(TIMEVALUE(RIGHT(Table2[[#This Row],[Friday]],5)),"h:mm AM/PM"),"OFF")</f>
        <v>OFF</v>
      </c>
      <c r="X28" t="str">
        <f>IFERROR(TEXT(TIMEVALUE(LEFT(Table2[[#This Row],[Saturday]],5)),"h:mm AM/PM")&amp;" - "&amp;TEXT(TIMEVALUE(RIGHT(Table2[[#This Row],[Saturday]],5)),"h:mm AM/PM"),"OFF")</f>
        <v>OFF</v>
      </c>
      <c r="Y28" t="str">
        <f>IFERROR(TEXT(TIMEVALUE(LEFT(Table2[[#This Row],[Sunday]],5)),"h:mm AM/PM")&amp;" - "&amp;TEXT(TIMEVALUE(RIGHT(Table2[[#This Row],[Sunday]],5)),"h:mm AM/PM"),"OFF")</f>
        <v>2:00 am - 1:00 pm</v>
      </c>
      <c r="Z28" t="str">
        <f t="shared" si="2"/>
        <v>Thu - Fri - Sat</v>
      </c>
      <c r="AA28" s="37">
        <f>Table2[[#This Row],[Break 1]]</f>
        <v>0.15625</v>
      </c>
      <c r="AB28" s="37">
        <f>Table2[[#This Row],[Break 2]]</f>
        <v>0.375</v>
      </c>
      <c r="AC28" s="37">
        <f>Table2[[#This Row],[Lunch]]</f>
        <v>0.25</v>
      </c>
      <c r="AD28" s="37">
        <f>Table2[[#This Row],[Break 3]]</f>
        <v>0.47916666666666669</v>
      </c>
      <c r="AE28" t="str">
        <f>Table2[[#This Row],[Supervisor]]</f>
        <v>Christopher Rodas</v>
      </c>
      <c r="AF28" t="str">
        <f>IFERROR(TEXT(TIMEVALUE(LEFT(Table2[[#This Row],[EST SHIFT]],5)),"h:mm AM/PM")&amp;" - "&amp;TEXT(TIMEVALUE(RIGHT(Table2[[#This Row],[EST SHIFT]],5)),"h:mm AM/PM"),"OFF")</f>
        <v>2:00 am - 1:00 pm</v>
      </c>
      <c r="AG28">
        <f t="shared" si="3"/>
        <v>0</v>
      </c>
    </row>
    <row r="29" spans="1:33" x14ac:dyDescent="0.25">
      <c r="A29" s="6" t="s">
        <v>75</v>
      </c>
      <c r="B29" s="5" t="s">
        <v>76</v>
      </c>
      <c r="C29" s="5" t="s">
        <v>76</v>
      </c>
      <c r="D29" s="1" t="s">
        <v>18</v>
      </c>
      <c r="E29" s="5" t="s">
        <v>76</v>
      </c>
      <c r="F29" s="5" t="s">
        <v>76</v>
      </c>
      <c r="G29" s="1" t="s">
        <v>18</v>
      </c>
      <c r="H29" s="1" t="s">
        <v>18</v>
      </c>
      <c r="I29" s="2" t="s">
        <v>47</v>
      </c>
      <c r="J29" s="3">
        <v>0.16666666666666666</v>
      </c>
      <c r="K29" s="3">
        <v>0.26041666666666669</v>
      </c>
      <c r="L29" s="3">
        <v>4.1666666666666664E-2</v>
      </c>
      <c r="M29" s="3">
        <v>0.33333333333333331</v>
      </c>
      <c r="N29" s="4" t="s">
        <v>27</v>
      </c>
      <c r="O29" s="5" t="s">
        <v>76</v>
      </c>
      <c r="P29">
        <f t="shared" si="0"/>
        <v>1</v>
      </c>
      <c r="R29" t="str">
        <f>Table2[[#This Row],[Name]]</f>
        <v>Jesse Owen Rama</v>
      </c>
      <c r="S29" t="str">
        <f>IFERROR(TEXT(TIMEVALUE(LEFT(B29,5)),"h:mm AM/PM")&amp;" - "&amp;TEXT(TIMEVALUE(RIGHT(B29,5)),"h:mm AM/PM"),"OFF")</f>
        <v>10:00 pm - 9:00 am</v>
      </c>
      <c r="T29" t="str">
        <f>IFERROR(TEXT(TIMEVALUE(LEFT(Table2[[#This Row],[Tuesday]],5)),"h:mm AM/PM")&amp;" - "&amp;TEXT(TIMEVALUE(RIGHT(Table2[[#This Row],[Tuesday]],5)),"h:mm AM/PM"),"OFF")</f>
        <v>10:00 pm - 9:00 am</v>
      </c>
      <c r="U29" t="str">
        <f>IFERROR(TEXT(TIMEVALUE(LEFT(Table2[[#This Row],[Wednesday]],5)),"h:mm AM/PM")&amp;" - "&amp;TEXT(TIMEVALUE(RIGHT(Table2[[#This Row],[Wednesday]],5)),"h:mm AM/PM"),"OFF")</f>
        <v>OFF</v>
      </c>
      <c r="V29" t="str">
        <f>IFERROR(TEXT(TIMEVALUE(LEFT(Table2[[#This Row],[Thursday]],5)),"h:mm AM/PM")&amp;" - "&amp;TEXT(TIMEVALUE(RIGHT(Table2[[#This Row],[Thursday]],5)),"h:mm AM/PM"),"OFF")</f>
        <v>10:00 pm - 9:00 am</v>
      </c>
      <c r="W29" t="str">
        <f>IFERROR(TEXT(TIMEVALUE(LEFT(Table2[[#This Row],[Friday]],5)),"h:mm AM/PM")&amp;" - "&amp;TEXT(TIMEVALUE(RIGHT(Table2[[#This Row],[Friday]],5)),"h:mm AM/PM"),"OFF")</f>
        <v>10:00 pm - 9:00 am</v>
      </c>
      <c r="X29" t="str">
        <f>IFERROR(TEXT(TIMEVALUE(LEFT(Table2[[#This Row],[Saturday]],5)),"h:mm AM/PM")&amp;" - "&amp;TEXT(TIMEVALUE(RIGHT(Table2[[#This Row],[Saturday]],5)),"h:mm AM/PM"),"OFF")</f>
        <v>OFF</v>
      </c>
      <c r="Y29" t="str">
        <f>IFERROR(TEXT(TIMEVALUE(LEFT(Table2[[#This Row],[Sunday]],5)),"h:mm AM/PM")&amp;" - "&amp;TEXT(TIMEVALUE(RIGHT(Table2[[#This Row],[Sunday]],5)),"h:mm AM/PM"),"OFF")</f>
        <v>OFF</v>
      </c>
      <c r="Z29" t="str">
        <f t="shared" si="2"/>
        <v>Wed - Sat - Sun</v>
      </c>
      <c r="AA29" s="37">
        <f>Table2[[#This Row],[Break 1]]</f>
        <v>0.16666666666666666</v>
      </c>
      <c r="AB29" s="37">
        <f>Table2[[#This Row],[Break 2]]</f>
        <v>0.26041666666666669</v>
      </c>
      <c r="AC29" s="37">
        <f>Table2[[#This Row],[Lunch]]</f>
        <v>4.1666666666666664E-2</v>
      </c>
      <c r="AD29" s="37">
        <f>Table2[[#This Row],[Break 3]]</f>
        <v>0.33333333333333331</v>
      </c>
      <c r="AE29" t="str">
        <f>Table2[[#This Row],[Supervisor]]</f>
        <v>Manilyn Abellar</v>
      </c>
      <c r="AF29" t="str">
        <f>IFERROR(TEXT(TIMEVALUE(LEFT(Table2[[#This Row],[EST SHIFT]],5)),"h:mm AM/PM")&amp;" - "&amp;TEXT(TIMEVALUE(RIGHT(Table2[[#This Row],[EST SHIFT]],5)),"h:mm AM/PM"),"OFF")</f>
        <v>10:00 pm - 9:00 am</v>
      </c>
      <c r="AG29">
        <f t="shared" si="3"/>
        <v>1</v>
      </c>
    </row>
    <row r="30" spans="1:33" x14ac:dyDescent="0.25">
      <c r="A30" s="6" t="s">
        <v>77</v>
      </c>
      <c r="B30" s="1" t="s">
        <v>25</v>
      </c>
      <c r="C30" s="1" t="s">
        <v>18</v>
      </c>
      <c r="D30" s="1" t="s">
        <v>25</v>
      </c>
      <c r="E30" s="1" t="s">
        <v>25</v>
      </c>
      <c r="F30" s="1" t="s">
        <v>25</v>
      </c>
      <c r="G30" s="1" t="s">
        <v>18</v>
      </c>
      <c r="H30" s="1" t="s">
        <v>18</v>
      </c>
      <c r="I30" s="2" t="s">
        <v>44</v>
      </c>
      <c r="J30" s="3">
        <v>0.41666666666666669</v>
      </c>
      <c r="K30" s="3">
        <v>0.64583333333333337</v>
      </c>
      <c r="L30" s="3">
        <v>0.5</v>
      </c>
      <c r="M30" s="3">
        <v>0.75</v>
      </c>
      <c r="N30" s="4" t="s">
        <v>27</v>
      </c>
      <c r="O30" s="1" t="s">
        <v>25</v>
      </c>
      <c r="P30">
        <f t="shared" si="0"/>
        <v>0</v>
      </c>
      <c r="R30" t="str">
        <f>Table2[[#This Row],[Name]]</f>
        <v>Jeycel Roxas</v>
      </c>
      <c r="S30" t="str">
        <f>IFERROR(TEXT(TIMEVALUE(LEFT(B30,5)),"h:mm AM/PM")&amp;" - "&amp;TEXT(TIMEVALUE(RIGHT(B30,5)),"h:mm AM/PM"),"OFF")</f>
        <v>8:00 am - 7:00 pm</v>
      </c>
      <c r="T30" t="str">
        <f>IFERROR(TEXT(TIMEVALUE(LEFT(Table2[[#This Row],[Tuesday]],5)),"h:mm AM/PM")&amp;" - "&amp;TEXT(TIMEVALUE(RIGHT(Table2[[#This Row],[Tuesday]],5)),"h:mm AM/PM"),"OFF")</f>
        <v>OFF</v>
      </c>
      <c r="U30" t="str">
        <f>IFERROR(TEXT(TIMEVALUE(LEFT(Table2[[#This Row],[Wednesday]],5)),"h:mm AM/PM")&amp;" - "&amp;TEXT(TIMEVALUE(RIGHT(Table2[[#This Row],[Wednesday]],5)),"h:mm AM/PM"),"OFF")</f>
        <v>8:00 am - 7:00 pm</v>
      </c>
      <c r="V30" t="str">
        <f>IFERROR(TEXT(TIMEVALUE(LEFT(Table2[[#This Row],[Thursday]],5)),"h:mm AM/PM")&amp;" - "&amp;TEXT(TIMEVALUE(RIGHT(Table2[[#This Row],[Thursday]],5)),"h:mm AM/PM"),"OFF")</f>
        <v>8:00 am - 7:00 pm</v>
      </c>
      <c r="W30" t="str">
        <f>IFERROR(TEXT(TIMEVALUE(LEFT(Table2[[#This Row],[Friday]],5)),"h:mm AM/PM")&amp;" - "&amp;TEXT(TIMEVALUE(RIGHT(Table2[[#This Row],[Friday]],5)),"h:mm AM/PM"),"OFF")</f>
        <v>8:00 am - 7:00 pm</v>
      </c>
      <c r="X30" t="str">
        <f>IFERROR(TEXT(TIMEVALUE(LEFT(Table2[[#This Row],[Saturday]],5)),"h:mm AM/PM")&amp;" - "&amp;TEXT(TIMEVALUE(RIGHT(Table2[[#This Row],[Saturday]],5)),"h:mm AM/PM"),"OFF")</f>
        <v>OFF</v>
      </c>
      <c r="Y30" t="str">
        <f>IFERROR(TEXT(TIMEVALUE(LEFT(Table2[[#This Row],[Sunday]],5)),"h:mm AM/PM")&amp;" - "&amp;TEXT(TIMEVALUE(RIGHT(Table2[[#This Row],[Sunday]],5)),"h:mm AM/PM"),"OFF")</f>
        <v>OFF</v>
      </c>
      <c r="Z30" t="str">
        <f t="shared" si="2"/>
        <v>Tue - Sat - Sun</v>
      </c>
      <c r="AA30" s="37">
        <f>Table2[[#This Row],[Break 1]]</f>
        <v>0.41666666666666669</v>
      </c>
      <c r="AB30" s="37">
        <f>Table2[[#This Row],[Break 2]]</f>
        <v>0.64583333333333337</v>
      </c>
      <c r="AC30" s="37">
        <f>Table2[[#This Row],[Lunch]]</f>
        <v>0.5</v>
      </c>
      <c r="AD30" s="37">
        <f>Table2[[#This Row],[Break 3]]</f>
        <v>0.75</v>
      </c>
      <c r="AE30" t="str">
        <f>Table2[[#This Row],[Supervisor]]</f>
        <v>Manilyn Abellar</v>
      </c>
      <c r="AF30" t="str">
        <f>IFERROR(TEXT(TIMEVALUE(LEFT(Table2[[#This Row],[EST SHIFT]],5)),"h:mm AM/PM")&amp;" - "&amp;TEXT(TIMEVALUE(RIGHT(Table2[[#This Row],[EST SHIFT]],5)),"h:mm AM/PM"),"OFF")</f>
        <v>8:00 am - 7:00 pm</v>
      </c>
      <c r="AG30">
        <f t="shared" si="3"/>
        <v>0</v>
      </c>
    </row>
    <row r="31" spans="1:33" x14ac:dyDescent="0.25">
      <c r="A31" s="6" t="s">
        <v>78</v>
      </c>
      <c r="B31" s="1" t="s">
        <v>18</v>
      </c>
      <c r="C31" s="1" t="s">
        <v>18</v>
      </c>
      <c r="D31" s="1" t="s">
        <v>79</v>
      </c>
      <c r="E31" s="1" t="s">
        <v>79</v>
      </c>
      <c r="F31" s="1" t="s">
        <v>79</v>
      </c>
      <c r="G31" s="1" t="s">
        <v>79</v>
      </c>
      <c r="H31" s="1" t="s">
        <v>18</v>
      </c>
      <c r="I31" s="2" t="s">
        <v>37</v>
      </c>
      <c r="J31" s="3">
        <v>0.58333333333333337</v>
      </c>
      <c r="K31" s="3">
        <v>0.8125</v>
      </c>
      <c r="L31" s="3">
        <v>0.67708333333333337</v>
      </c>
      <c r="M31" s="3">
        <v>0.91666666666666663</v>
      </c>
      <c r="N31" s="4" t="s">
        <v>27</v>
      </c>
      <c r="O31" s="1" t="s">
        <v>79</v>
      </c>
      <c r="P31">
        <f t="shared" si="0"/>
        <v>1</v>
      </c>
      <c r="R31" t="str">
        <f>Table2[[#This Row],[Name]]</f>
        <v>Jhanelle Jane Didato</v>
      </c>
      <c r="S31" t="str">
        <f>IFERROR(TEXT(TIMEVALUE(LEFT(B31,5)),"h:mm AM/PM")&amp;" - "&amp;TEXT(TIMEVALUE(RIGHT(B31,5)),"h:mm AM/PM"),"OFF")</f>
        <v>OFF</v>
      </c>
      <c r="T31" t="str">
        <f>IFERROR(TEXT(TIMEVALUE(LEFT(Table2[[#This Row],[Tuesday]],5)),"h:mm AM/PM")&amp;" - "&amp;TEXT(TIMEVALUE(RIGHT(Table2[[#This Row],[Tuesday]],5)),"h:mm AM/PM"),"OFF")</f>
        <v>OFF</v>
      </c>
      <c r="U31" t="str">
        <f>IFERROR(TEXT(TIMEVALUE(LEFT(Table2[[#This Row],[Wednesday]],5)),"h:mm AM/PM")&amp;" - "&amp;TEXT(TIMEVALUE(RIGHT(Table2[[#This Row],[Wednesday]],5)),"h:mm AM/PM"),"OFF")</f>
        <v>12:00 pm - 11:00 pm</v>
      </c>
      <c r="V31" t="str">
        <f>IFERROR(TEXT(TIMEVALUE(LEFT(Table2[[#This Row],[Thursday]],5)),"h:mm AM/PM")&amp;" - "&amp;TEXT(TIMEVALUE(RIGHT(Table2[[#This Row],[Thursday]],5)),"h:mm AM/PM"),"OFF")</f>
        <v>12:00 pm - 11:00 pm</v>
      </c>
      <c r="W31" t="str">
        <f>IFERROR(TEXT(TIMEVALUE(LEFT(Table2[[#This Row],[Friday]],5)),"h:mm AM/PM")&amp;" - "&amp;TEXT(TIMEVALUE(RIGHT(Table2[[#This Row],[Friday]],5)),"h:mm AM/PM"),"OFF")</f>
        <v>12:00 pm - 11:00 pm</v>
      </c>
      <c r="X31" t="str">
        <f>IFERROR(TEXT(TIMEVALUE(LEFT(Table2[[#This Row],[Saturday]],5)),"h:mm AM/PM")&amp;" - "&amp;TEXT(TIMEVALUE(RIGHT(Table2[[#This Row],[Saturday]],5)),"h:mm AM/PM"),"OFF")</f>
        <v>12:00 pm - 11:00 pm</v>
      </c>
      <c r="Y31" t="str">
        <f>IFERROR(TEXT(TIMEVALUE(LEFT(Table2[[#This Row],[Sunday]],5)),"h:mm AM/PM")&amp;" - "&amp;TEXT(TIMEVALUE(RIGHT(Table2[[#This Row],[Sunday]],5)),"h:mm AM/PM"),"OFF")</f>
        <v>OFF</v>
      </c>
      <c r="Z31" t="str">
        <f t="shared" si="2"/>
        <v>Mon - Tue - Sun</v>
      </c>
      <c r="AA31" s="37">
        <f>Table2[[#This Row],[Break 1]]</f>
        <v>0.58333333333333337</v>
      </c>
      <c r="AB31" s="37">
        <f>Table2[[#This Row],[Break 2]]</f>
        <v>0.8125</v>
      </c>
      <c r="AC31" s="37">
        <f>Table2[[#This Row],[Lunch]]</f>
        <v>0.67708333333333337</v>
      </c>
      <c r="AD31" s="37">
        <f>Table2[[#This Row],[Break 3]]</f>
        <v>0.91666666666666663</v>
      </c>
      <c r="AE31" t="str">
        <f>Table2[[#This Row],[Supervisor]]</f>
        <v>Manilyn Abellar</v>
      </c>
      <c r="AF31" t="str">
        <f>IFERROR(TEXT(TIMEVALUE(LEFT(Table2[[#This Row],[EST SHIFT]],5)),"h:mm AM/PM")&amp;" - "&amp;TEXT(TIMEVALUE(RIGHT(Table2[[#This Row],[EST SHIFT]],5)),"h:mm AM/PM"),"OFF")</f>
        <v>12:00 pm - 11:00 pm</v>
      </c>
      <c r="AG31">
        <f t="shared" si="3"/>
        <v>1</v>
      </c>
    </row>
    <row r="32" spans="1:33" x14ac:dyDescent="0.25">
      <c r="A32" s="6" t="s">
        <v>80</v>
      </c>
      <c r="B32" s="1" t="s">
        <v>18</v>
      </c>
      <c r="C32" s="1" t="s">
        <v>68</v>
      </c>
      <c r="D32" s="1" t="s">
        <v>68</v>
      </c>
      <c r="E32" s="1" t="s">
        <v>68</v>
      </c>
      <c r="F32" s="1" t="s">
        <v>68</v>
      </c>
      <c r="G32" s="1" t="s">
        <v>18</v>
      </c>
      <c r="H32" s="1" t="s">
        <v>18</v>
      </c>
      <c r="I32" s="2" t="s">
        <v>49</v>
      </c>
      <c r="J32" s="3">
        <v>0.30208333333333331</v>
      </c>
      <c r="K32" s="3">
        <v>0.46875</v>
      </c>
      <c r="L32" s="3">
        <v>0.38541666666666669</v>
      </c>
      <c r="M32" s="3">
        <v>0.58333333333333337</v>
      </c>
      <c r="N32" s="4" t="s">
        <v>27</v>
      </c>
      <c r="O32" s="1" t="s">
        <v>68</v>
      </c>
      <c r="P32">
        <f t="shared" si="0"/>
        <v>0</v>
      </c>
      <c r="R32" t="str">
        <f>Table2[[#This Row],[Name]]</f>
        <v>Jhonrey Jotojot</v>
      </c>
      <c r="S32" t="str">
        <f>IFERROR(TEXT(TIMEVALUE(LEFT(B32,5)),"h:mm AM/PM")&amp;" - "&amp;TEXT(TIMEVALUE(RIGHT(B32,5)),"h:mm AM/PM"),"OFF")</f>
        <v>OFF</v>
      </c>
      <c r="T32" t="str">
        <f>IFERROR(TEXT(TIMEVALUE(LEFT(Table2[[#This Row],[Tuesday]],5)),"h:mm AM/PM")&amp;" - "&amp;TEXT(TIMEVALUE(RIGHT(Table2[[#This Row],[Tuesday]],5)),"h:mm AM/PM"),"OFF")</f>
        <v>5:00 am - 4:00 pm</v>
      </c>
      <c r="U32" t="str">
        <f>IFERROR(TEXT(TIMEVALUE(LEFT(Table2[[#This Row],[Wednesday]],5)),"h:mm AM/PM")&amp;" - "&amp;TEXT(TIMEVALUE(RIGHT(Table2[[#This Row],[Wednesday]],5)),"h:mm AM/PM"),"OFF")</f>
        <v>5:00 am - 4:00 pm</v>
      </c>
      <c r="V32" t="str">
        <f>IFERROR(TEXT(TIMEVALUE(LEFT(Table2[[#This Row],[Thursday]],5)),"h:mm AM/PM")&amp;" - "&amp;TEXT(TIMEVALUE(RIGHT(Table2[[#This Row],[Thursday]],5)),"h:mm AM/PM"),"OFF")</f>
        <v>5:00 am - 4:00 pm</v>
      </c>
      <c r="W32" t="str">
        <f>IFERROR(TEXT(TIMEVALUE(LEFT(Table2[[#This Row],[Friday]],5)),"h:mm AM/PM")&amp;" - "&amp;TEXT(TIMEVALUE(RIGHT(Table2[[#This Row],[Friday]],5)),"h:mm AM/PM"),"OFF")</f>
        <v>5:00 am - 4:00 pm</v>
      </c>
      <c r="X32" t="str">
        <f>IFERROR(TEXT(TIMEVALUE(LEFT(Table2[[#This Row],[Saturday]],5)),"h:mm AM/PM")&amp;" - "&amp;TEXT(TIMEVALUE(RIGHT(Table2[[#This Row],[Saturday]],5)),"h:mm AM/PM"),"OFF")</f>
        <v>OFF</v>
      </c>
      <c r="Y32" t="str">
        <f>IFERROR(TEXT(TIMEVALUE(LEFT(Table2[[#This Row],[Sunday]],5)),"h:mm AM/PM")&amp;" - "&amp;TEXT(TIMEVALUE(RIGHT(Table2[[#This Row],[Sunday]],5)),"h:mm AM/PM"),"OFF")</f>
        <v>OFF</v>
      </c>
      <c r="Z32" t="str">
        <f t="shared" si="2"/>
        <v>Mon - Sat - Sun</v>
      </c>
      <c r="AA32" s="37">
        <f>Table2[[#This Row],[Break 1]]</f>
        <v>0.30208333333333331</v>
      </c>
      <c r="AB32" s="37">
        <f>Table2[[#This Row],[Break 2]]</f>
        <v>0.46875</v>
      </c>
      <c r="AC32" s="37">
        <f>Table2[[#This Row],[Lunch]]</f>
        <v>0.38541666666666669</v>
      </c>
      <c r="AD32" s="37">
        <f>Table2[[#This Row],[Break 3]]</f>
        <v>0.58333333333333337</v>
      </c>
      <c r="AE32" t="str">
        <f>Table2[[#This Row],[Supervisor]]</f>
        <v>Manilyn Abellar</v>
      </c>
      <c r="AF32" t="str">
        <f>IFERROR(TEXT(TIMEVALUE(LEFT(Table2[[#This Row],[EST SHIFT]],5)),"h:mm AM/PM")&amp;" - "&amp;TEXT(TIMEVALUE(RIGHT(Table2[[#This Row],[EST SHIFT]],5)),"h:mm AM/PM"),"OFF")</f>
        <v>5:00 am - 4:00 pm</v>
      </c>
      <c r="AG32">
        <f t="shared" si="3"/>
        <v>0</v>
      </c>
    </row>
    <row r="33" spans="1:33" x14ac:dyDescent="0.25">
      <c r="A33" s="6" t="s">
        <v>81</v>
      </c>
      <c r="B33" s="1" t="s">
        <v>82</v>
      </c>
      <c r="C33" s="1" t="s">
        <v>82</v>
      </c>
      <c r="D33" s="1" t="s">
        <v>18</v>
      </c>
      <c r="E33" s="1" t="s">
        <v>18</v>
      </c>
      <c r="F33" s="1" t="s">
        <v>18</v>
      </c>
      <c r="G33" s="1" t="s">
        <v>82</v>
      </c>
      <c r="H33" s="1" t="s">
        <v>82</v>
      </c>
      <c r="I33" s="2" t="s">
        <v>83</v>
      </c>
      <c r="J33" s="3">
        <v>0.95833333333333337</v>
      </c>
      <c r="K33" s="3">
        <v>6.25E-2</v>
      </c>
      <c r="L33" s="3">
        <v>0.16666666666666666</v>
      </c>
      <c r="M33" s="3">
        <v>0.29166666666666669</v>
      </c>
      <c r="N33" s="4" t="s">
        <v>38</v>
      </c>
      <c r="O33" s="1" t="s">
        <v>82</v>
      </c>
      <c r="P33">
        <f t="shared" si="0"/>
        <v>1</v>
      </c>
      <c r="R33" t="str">
        <f>Table2[[#This Row],[Name]]</f>
        <v>Jieleen Villegas</v>
      </c>
      <c r="S33" t="str">
        <f>IFERROR(TEXT(TIMEVALUE(LEFT(B33,5)),"h:mm AM/PM")&amp;" - "&amp;TEXT(TIMEVALUE(RIGHT(B33,5)),"h:mm AM/PM"),"OFF")</f>
        <v>9:00 pm - 8:00 am</v>
      </c>
      <c r="T33" t="str">
        <f>IFERROR(TEXT(TIMEVALUE(LEFT(Table2[[#This Row],[Tuesday]],5)),"h:mm AM/PM")&amp;" - "&amp;TEXT(TIMEVALUE(RIGHT(Table2[[#This Row],[Tuesday]],5)),"h:mm AM/PM"),"OFF")</f>
        <v>9:00 pm - 8:00 am</v>
      </c>
      <c r="U33" t="str">
        <f>IFERROR(TEXT(TIMEVALUE(LEFT(Table2[[#This Row],[Wednesday]],5)),"h:mm AM/PM")&amp;" - "&amp;TEXT(TIMEVALUE(RIGHT(Table2[[#This Row],[Wednesday]],5)),"h:mm AM/PM"),"OFF")</f>
        <v>OFF</v>
      </c>
      <c r="V33" t="str">
        <f>IFERROR(TEXT(TIMEVALUE(LEFT(Table2[[#This Row],[Thursday]],5)),"h:mm AM/PM")&amp;" - "&amp;TEXT(TIMEVALUE(RIGHT(Table2[[#This Row],[Thursday]],5)),"h:mm AM/PM"),"OFF")</f>
        <v>OFF</v>
      </c>
      <c r="W33" t="str">
        <f>IFERROR(TEXT(TIMEVALUE(LEFT(Table2[[#This Row],[Friday]],5)),"h:mm AM/PM")&amp;" - "&amp;TEXT(TIMEVALUE(RIGHT(Table2[[#This Row],[Friday]],5)),"h:mm AM/PM"),"OFF")</f>
        <v>OFF</v>
      </c>
      <c r="X33" t="str">
        <f>IFERROR(TEXT(TIMEVALUE(LEFT(Table2[[#This Row],[Saturday]],5)),"h:mm AM/PM")&amp;" - "&amp;TEXT(TIMEVALUE(RIGHT(Table2[[#This Row],[Saturday]],5)),"h:mm AM/PM"),"OFF")</f>
        <v>9:00 pm - 8:00 am</v>
      </c>
      <c r="Y33" t="str">
        <f>IFERROR(TEXT(TIMEVALUE(LEFT(Table2[[#This Row],[Sunday]],5)),"h:mm AM/PM")&amp;" - "&amp;TEXT(TIMEVALUE(RIGHT(Table2[[#This Row],[Sunday]],5)),"h:mm AM/PM"),"OFF")</f>
        <v>9:00 pm - 8:00 am</v>
      </c>
      <c r="Z33" t="str">
        <f t="shared" si="2"/>
        <v>Wed - Thu - Fri</v>
      </c>
      <c r="AA33" s="37">
        <f>Table2[[#This Row],[Break 1]]</f>
        <v>0.95833333333333337</v>
      </c>
      <c r="AB33" s="37">
        <f>Table2[[#This Row],[Break 2]]</f>
        <v>6.25E-2</v>
      </c>
      <c r="AC33" s="37">
        <f>Table2[[#This Row],[Lunch]]</f>
        <v>0.16666666666666666</v>
      </c>
      <c r="AD33" s="37">
        <f>Table2[[#This Row],[Break 3]]</f>
        <v>0.29166666666666669</v>
      </c>
      <c r="AE33" t="str">
        <f>Table2[[#This Row],[Supervisor]]</f>
        <v>Anmecha Valencia</v>
      </c>
      <c r="AF33" t="str">
        <f>IFERROR(TEXT(TIMEVALUE(LEFT(Table2[[#This Row],[EST SHIFT]],5)),"h:mm AM/PM")&amp;" - "&amp;TEXT(TIMEVALUE(RIGHT(Table2[[#This Row],[EST SHIFT]],5)),"h:mm AM/PM"),"OFF")</f>
        <v>9:00 pm - 8:00 am</v>
      </c>
      <c r="AG33">
        <f t="shared" si="3"/>
        <v>1</v>
      </c>
    </row>
    <row r="34" spans="1:33" s="14" customFormat="1" x14ac:dyDescent="0.25">
      <c r="A34" s="46" t="s">
        <v>84</v>
      </c>
      <c r="B34" s="1" t="s">
        <v>18</v>
      </c>
      <c r="C34" s="1" t="s">
        <v>18</v>
      </c>
      <c r="D34" s="1" t="s">
        <v>85</v>
      </c>
      <c r="E34" s="1" t="s">
        <v>85</v>
      </c>
      <c r="F34" s="1" t="s">
        <v>85</v>
      </c>
      <c r="G34" s="1" t="s">
        <v>85</v>
      </c>
      <c r="H34" s="1" t="s">
        <v>18</v>
      </c>
      <c r="I34" s="2" t="s">
        <v>86</v>
      </c>
      <c r="J34" s="3">
        <v>0.34375</v>
      </c>
      <c r="K34" s="3">
        <v>0.16666666666666666</v>
      </c>
      <c r="L34" s="3">
        <v>0.22916666666666666</v>
      </c>
      <c r="M34" s="3">
        <v>0.42708333333333331</v>
      </c>
      <c r="N34" s="4" t="s">
        <v>27</v>
      </c>
      <c r="O34" s="1" t="s">
        <v>85</v>
      </c>
      <c r="P34">
        <f t="shared" si="0"/>
        <v>0</v>
      </c>
      <c r="Q34"/>
      <c r="R34" t="str">
        <f>Table2[[#This Row],[Name]]</f>
        <v>Joanah Carl Anoling</v>
      </c>
      <c r="S34" t="str">
        <f>IFERROR(TEXT(TIMEVALUE(LEFT(B34,5)),"h:mm AM/PM")&amp;" - "&amp;TEXT(TIMEVALUE(RIGHT(B34,5)),"h:mm AM/PM"),"OFF")</f>
        <v>OFF</v>
      </c>
      <c r="T34" t="str">
        <f>IFERROR(TEXT(TIMEVALUE(LEFT(Table2[[#This Row],[Tuesday]],5)),"h:mm AM/PM")&amp;" - "&amp;TEXT(TIMEVALUE(RIGHT(Table2[[#This Row],[Tuesday]],5)),"h:mm AM/PM"),"OFF")</f>
        <v>OFF</v>
      </c>
      <c r="U34" t="str">
        <f>IFERROR(TEXT(TIMEVALUE(LEFT(Table2[[#This Row],[Wednesday]],5)),"h:mm AM/PM")&amp;" - "&amp;TEXT(TIMEVALUE(RIGHT(Table2[[#This Row],[Wednesday]],5)),"h:mm AM/PM"),"OFF")</f>
        <v>12:00 am - 11:00 am</v>
      </c>
      <c r="V34" t="str">
        <f>IFERROR(TEXT(TIMEVALUE(LEFT(Table2[[#This Row],[Thursday]],5)),"h:mm AM/PM")&amp;" - "&amp;TEXT(TIMEVALUE(RIGHT(Table2[[#This Row],[Thursday]],5)),"h:mm AM/PM"),"OFF")</f>
        <v>12:00 am - 11:00 am</v>
      </c>
      <c r="W34" t="str">
        <f>IFERROR(TEXT(TIMEVALUE(LEFT(Table2[[#This Row],[Friday]],5)),"h:mm AM/PM")&amp;" - "&amp;TEXT(TIMEVALUE(RIGHT(Table2[[#This Row],[Friday]],5)),"h:mm AM/PM"),"OFF")</f>
        <v>12:00 am - 11:00 am</v>
      </c>
      <c r="X34" t="str">
        <f>IFERROR(TEXT(TIMEVALUE(LEFT(Table2[[#This Row],[Saturday]],5)),"h:mm AM/PM")&amp;" - "&amp;TEXT(TIMEVALUE(RIGHT(Table2[[#This Row],[Saturday]],5)),"h:mm AM/PM"),"OFF")</f>
        <v>12:00 am - 11:00 am</v>
      </c>
      <c r="Y34" t="str">
        <f>IFERROR(TEXT(TIMEVALUE(LEFT(Table2[[#This Row],[Sunday]],5)),"h:mm AM/PM")&amp;" - "&amp;TEXT(TIMEVALUE(RIGHT(Table2[[#This Row],[Sunday]],5)),"h:mm AM/PM"),"OFF")</f>
        <v>OFF</v>
      </c>
      <c r="Z34" t="str">
        <f t="shared" si="2"/>
        <v>Mon - Tue - Sun</v>
      </c>
      <c r="AA34" s="37">
        <f>Table2[[#This Row],[Break 1]]</f>
        <v>0.34375</v>
      </c>
      <c r="AB34" s="37">
        <f>Table2[[#This Row],[Break 2]]</f>
        <v>0.16666666666666666</v>
      </c>
      <c r="AC34" s="37">
        <f>Table2[[#This Row],[Lunch]]</f>
        <v>0.22916666666666666</v>
      </c>
      <c r="AD34" s="37">
        <f>Table2[[#This Row],[Break 3]]</f>
        <v>0.42708333333333331</v>
      </c>
      <c r="AE34" t="str">
        <f>Table2[[#This Row],[Supervisor]]</f>
        <v>Manilyn Abellar</v>
      </c>
      <c r="AF34" t="str">
        <f>IFERROR(TEXT(TIMEVALUE(LEFT(Table2[[#This Row],[EST SHIFT]],5)),"h:mm AM/PM")&amp;" - "&amp;TEXT(TIMEVALUE(RIGHT(Table2[[#This Row],[EST SHIFT]],5)),"h:mm AM/PM"),"OFF")</f>
        <v>12:00 am - 11:00 am</v>
      </c>
      <c r="AG34">
        <f t="shared" si="3"/>
        <v>0</v>
      </c>
    </row>
    <row r="35" spans="1:33" x14ac:dyDescent="0.25">
      <c r="A35" s="6" t="s">
        <v>87</v>
      </c>
      <c r="B35" s="1" t="s">
        <v>66</v>
      </c>
      <c r="C35" s="1" t="s">
        <v>66</v>
      </c>
      <c r="D35" s="1" t="s">
        <v>66</v>
      </c>
      <c r="E35" s="1" t="s">
        <v>66</v>
      </c>
      <c r="F35" s="1" t="s">
        <v>18</v>
      </c>
      <c r="G35" s="1" t="s">
        <v>18</v>
      </c>
      <c r="H35" s="1" t="s">
        <v>18</v>
      </c>
      <c r="I35" s="2" t="s">
        <v>30</v>
      </c>
      <c r="J35" s="3">
        <v>0.33333333333333331</v>
      </c>
      <c r="K35" s="3">
        <v>0.55208333333333337</v>
      </c>
      <c r="L35" s="3">
        <v>0.42708333333333331</v>
      </c>
      <c r="M35" s="3">
        <v>0.64583333333333337</v>
      </c>
      <c r="N35" s="4" t="s">
        <v>20</v>
      </c>
      <c r="O35" s="1" t="s">
        <v>66</v>
      </c>
      <c r="P35">
        <f t="shared" si="0"/>
        <v>0</v>
      </c>
      <c r="R35" t="str">
        <f>Table2[[#This Row],[Name]]</f>
        <v>Joemie Ann Benedicto</v>
      </c>
      <c r="S35" t="str">
        <f>IFERROR(TEXT(TIMEVALUE(LEFT(B35,5)),"h:mm AM/PM")&amp;" - "&amp;TEXT(TIMEVALUE(RIGHT(B35,5)),"h:mm AM/PM"),"OFF")</f>
        <v>6:00 am - 5:00 pm</v>
      </c>
      <c r="T35" t="str">
        <f>IFERROR(TEXT(TIMEVALUE(LEFT(Table2[[#This Row],[Tuesday]],5)),"h:mm AM/PM")&amp;" - "&amp;TEXT(TIMEVALUE(RIGHT(Table2[[#This Row],[Tuesday]],5)),"h:mm AM/PM"),"OFF")</f>
        <v>6:00 am - 5:00 pm</v>
      </c>
      <c r="U35" t="str">
        <f>IFERROR(TEXT(TIMEVALUE(LEFT(Table2[[#This Row],[Wednesday]],5)),"h:mm AM/PM")&amp;" - "&amp;TEXT(TIMEVALUE(RIGHT(Table2[[#This Row],[Wednesday]],5)),"h:mm AM/PM"),"OFF")</f>
        <v>6:00 am - 5:00 pm</v>
      </c>
      <c r="V35" t="str">
        <f>IFERROR(TEXT(TIMEVALUE(LEFT(Table2[[#This Row],[Thursday]],5)),"h:mm AM/PM")&amp;" - "&amp;TEXT(TIMEVALUE(RIGHT(Table2[[#This Row],[Thursday]],5)),"h:mm AM/PM"),"OFF")</f>
        <v>6:00 am - 5:00 pm</v>
      </c>
      <c r="W35" t="str">
        <f>IFERROR(TEXT(TIMEVALUE(LEFT(Table2[[#This Row],[Friday]],5)),"h:mm AM/PM")&amp;" - "&amp;TEXT(TIMEVALUE(RIGHT(Table2[[#This Row],[Friday]],5)),"h:mm AM/PM"),"OFF")</f>
        <v>OFF</v>
      </c>
      <c r="X35" t="str">
        <f>IFERROR(TEXT(TIMEVALUE(LEFT(Table2[[#This Row],[Saturday]],5)),"h:mm AM/PM")&amp;" - "&amp;TEXT(TIMEVALUE(RIGHT(Table2[[#This Row],[Saturday]],5)),"h:mm AM/PM"),"OFF")</f>
        <v>OFF</v>
      </c>
      <c r="Y35" t="str">
        <f>IFERROR(TEXT(TIMEVALUE(LEFT(Table2[[#This Row],[Sunday]],5)),"h:mm AM/PM")&amp;" - "&amp;TEXT(TIMEVALUE(RIGHT(Table2[[#This Row],[Sunday]],5)),"h:mm AM/PM"),"OFF")</f>
        <v>OFF</v>
      </c>
      <c r="Z35" t="str">
        <f t="shared" si="2"/>
        <v>Fri - Sat - Sun</v>
      </c>
      <c r="AA35" s="37">
        <f>Table2[[#This Row],[Break 1]]</f>
        <v>0.33333333333333331</v>
      </c>
      <c r="AB35" s="37">
        <f>Table2[[#This Row],[Break 2]]</f>
        <v>0.55208333333333337</v>
      </c>
      <c r="AC35" s="37">
        <f>Table2[[#This Row],[Lunch]]</f>
        <v>0.42708333333333331</v>
      </c>
      <c r="AD35" s="37">
        <f>Table2[[#This Row],[Break 3]]</f>
        <v>0.64583333333333337</v>
      </c>
      <c r="AE35" t="str">
        <f>Table2[[#This Row],[Supervisor]]</f>
        <v>Remmo Panaligan</v>
      </c>
      <c r="AF35" t="str">
        <f>IFERROR(TEXT(TIMEVALUE(LEFT(Table2[[#This Row],[EST SHIFT]],5)),"h:mm AM/PM")&amp;" - "&amp;TEXT(TIMEVALUE(RIGHT(Table2[[#This Row],[EST SHIFT]],5)),"h:mm AM/PM"),"OFF")</f>
        <v>6:00 am - 5:00 pm</v>
      </c>
      <c r="AG35">
        <f t="shared" si="3"/>
        <v>0</v>
      </c>
    </row>
    <row r="36" spans="1:33" x14ac:dyDescent="0.25">
      <c r="A36" s="6" t="s">
        <v>88</v>
      </c>
      <c r="B36" s="1" t="s">
        <v>89</v>
      </c>
      <c r="C36" s="1" t="s">
        <v>18</v>
      </c>
      <c r="D36" s="1" t="s">
        <v>18</v>
      </c>
      <c r="E36" s="1" t="s">
        <v>89</v>
      </c>
      <c r="F36" s="1" t="s">
        <v>89</v>
      </c>
      <c r="G36" s="1" t="s">
        <v>18</v>
      </c>
      <c r="H36" s="1" t="s">
        <v>89</v>
      </c>
      <c r="I36" s="2" t="s">
        <v>90</v>
      </c>
      <c r="J36" s="3">
        <v>0.125</v>
      </c>
      <c r="K36" s="3">
        <v>0.21875</v>
      </c>
      <c r="L36" s="3">
        <v>0</v>
      </c>
      <c r="M36" s="3">
        <v>0.29166666666666669</v>
      </c>
      <c r="N36" s="4" t="s">
        <v>20</v>
      </c>
      <c r="O36" s="1" t="s">
        <v>89</v>
      </c>
      <c r="P36">
        <f t="shared" si="0"/>
        <v>1</v>
      </c>
      <c r="R36" t="str">
        <f>Table2[[#This Row],[Name]]</f>
        <v>Joseph Brian Nagor</v>
      </c>
      <c r="S36" t="str">
        <f>IFERROR(TEXT(TIMEVALUE(LEFT(B36,5)),"h:mm AM/PM")&amp;" - "&amp;TEXT(TIMEVALUE(RIGHT(B36,5)),"h:mm AM/PM"),"OFF")</f>
        <v>9:00 pm - 8:00 am</v>
      </c>
      <c r="T36" t="str">
        <f>IFERROR(TEXT(TIMEVALUE(LEFT(Table2[[#This Row],[Tuesday]],5)),"h:mm AM/PM")&amp;" - "&amp;TEXT(TIMEVALUE(RIGHT(Table2[[#This Row],[Tuesday]],5)),"h:mm AM/PM"),"OFF")</f>
        <v>OFF</v>
      </c>
      <c r="U36" t="str">
        <f>IFERROR(TEXT(TIMEVALUE(LEFT(Table2[[#This Row],[Wednesday]],5)),"h:mm AM/PM")&amp;" - "&amp;TEXT(TIMEVALUE(RIGHT(Table2[[#This Row],[Wednesday]],5)),"h:mm AM/PM"),"OFF")</f>
        <v>OFF</v>
      </c>
      <c r="V36" t="str">
        <f>IFERROR(TEXT(TIMEVALUE(LEFT(Table2[[#This Row],[Thursday]],5)),"h:mm AM/PM")&amp;" - "&amp;TEXT(TIMEVALUE(RIGHT(Table2[[#This Row],[Thursday]],5)),"h:mm AM/PM"),"OFF")</f>
        <v>9:00 pm - 8:00 am</v>
      </c>
      <c r="W36" t="str">
        <f>IFERROR(TEXT(TIMEVALUE(LEFT(Table2[[#This Row],[Friday]],5)),"h:mm AM/PM")&amp;" - "&amp;TEXT(TIMEVALUE(RIGHT(Table2[[#This Row],[Friday]],5)),"h:mm AM/PM"),"OFF")</f>
        <v>9:00 pm - 8:00 am</v>
      </c>
      <c r="X36" t="str">
        <f>IFERROR(TEXT(TIMEVALUE(LEFT(Table2[[#This Row],[Saturday]],5)),"h:mm AM/PM")&amp;" - "&amp;TEXT(TIMEVALUE(RIGHT(Table2[[#This Row],[Saturday]],5)),"h:mm AM/PM"),"OFF")</f>
        <v>OFF</v>
      </c>
      <c r="Y36" t="str">
        <f>IFERROR(TEXT(TIMEVALUE(LEFT(Table2[[#This Row],[Sunday]],5)),"h:mm AM/PM")&amp;" - "&amp;TEXT(TIMEVALUE(RIGHT(Table2[[#This Row],[Sunday]],5)),"h:mm AM/PM"),"OFF")</f>
        <v>9:00 pm - 8:00 am</v>
      </c>
      <c r="Z36" t="str">
        <f t="shared" si="2"/>
        <v>Tue - Wed - Sat</v>
      </c>
      <c r="AA36" s="37">
        <f>Table2[[#This Row],[Break 1]]</f>
        <v>0.125</v>
      </c>
      <c r="AB36" s="37">
        <f>Table2[[#This Row],[Break 2]]</f>
        <v>0.21875</v>
      </c>
      <c r="AC36" s="37">
        <f>Table2[[#This Row],[Lunch]]</f>
        <v>0</v>
      </c>
      <c r="AD36" s="37">
        <f>Table2[[#This Row],[Break 3]]</f>
        <v>0.29166666666666669</v>
      </c>
      <c r="AE36" t="str">
        <f>Table2[[#This Row],[Supervisor]]</f>
        <v>Remmo Panaligan</v>
      </c>
      <c r="AF36" t="str">
        <f>IFERROR(TEXT(TIMEVALUE(LEFT(Table2[[#This Row],[EST SHIFT]],5)),"h:mm AM/PM")&amp;" - "&amp;TEXT(TIMEVALUE(RIGHT(Table2[[#This Row],[EST SHIFT]],5)),"h:mm AM/PM"),"OFF")</f>
        <v>9:00 pm - 8:00 am</v>
      </c>
      <c r="AG36">
        <f t="shared" si="3"/>
        <v>1</v>
      </c>
    </row>
    <row r="37" spans="1:33" x14ac:dyDescent="0.25">
      <c r="A37" s="6" t="s">
        <v>91</v>
      </c>
      <c r="B37" s="1" t="s">
        <v>22</v>
      </c>
      <c r="C37" s="1" t="s">
        <v>22</v>
      </c>
      <c r="D37" s="1" t="s">
        <v>22</v>
      </c>
      <c r="E37" s="1" t="s">
        <v>22</v>
      </c>
      <c r="F37" s="1" t="s">
        <v>18</v>
      </c>
      <c r="G37" s="1" t="s">
        <v>18</v>
      </c>
      <c r="H37" s="1" t="s">
        <v>18</v>
      </c>
      <c r="I37" s="2" t="s">
        <v>30</v>
      </c>
      <c r="J37" s="3">
        <v>0.625</v>
      </c>
      <c r="K37" s="3">
        <v>0.875</v>
      </c>
      <c r="L37" s="3">
        <v>0.75</v>
      </c>
      <c r="M37" s="3">
        <v>0.97916666666666663</v>
      </c>
      <c r="N37" s="4" t="s">
        <v>27</v>
      </c>
      <c r="O37" s="1" t="s">
        <v>22</v>
      </c>
      <c r="P37">
        <f t="shared" si="0"/>
        <v>1</v>
      </c>
      <c r="R37" t="str">
        <f>Table2[[#This Row],[Name]]</f>
        <v>Josephraim Lamoste</v>
      </c>
      <c r="S37" t="str">
        <f>IFERROR(TEXT(TIMEVALUE(LEFT(B37,5)),"h:mm AM/PM")&amp;" - "&amp;TEXT(TIMEVALUE(RIGHT(B37,5)),"h:mm AM/PM"),"OFF")</f>
        <v>1:00 pm - 12:00 am</v>
      </c>
      <c r="T37" t="str">
        <f>IFERROR(TEXT(TIMEVALUE(LEFT(Table2[[#This Row],[Tuesday]],5)),"h:mm AM/PM")&amp;" - "&amp;TEXT(TIMEVALUE(RIGHT(Table2[[#This Row],[Tuesday]],5)),"h:mm AM/PM"),"OFF")</f>
        <v>1:00 pm - 12:00 am</v>
      </c>
      <c r="U37" t="str">
        <f>IFERROR(TEXT(TIMEVALUE(LEFT(Table2[[#This Row],[Wednesday]],5)),"h:mm AM/PM")&amp;" - "&amp;TEXT(TIMEVALUE(RIGHT(Table2[[#This Row],[Wednesday]],5)),"h:mm AM/PM"),"OFF")</f>
        <v>1:00 pm - 12:00 am</v>
      </c>
      <c r="V37" t="str">
        <f>IFERROR(TEXT(TIMEVALUE(LEFT(Table2[[#This Row],[Thursday]],5)),"h:mm AM/PM")&amp;" - "&amp;TEXT(TIMEVALUE(RIGHT(Table2[[#This Row],[Thursday]],5)),"h:mm AM/PM"),"OFF")</f>
        <v>1:00 pm - 12:00 am</v>
      </c>
      <c r="W37" t="str">
        <f>IFERROR(TEXT(TIMEVALUE(LEFT(Table2[[#This Row],[Friday]],5)),"h:mm AM/PM")&amp;" - "&amp;TEXT(TIMEVALUE(RIGHT(Table2[[#This Row],[Friday]],5)),"h:mm AM/PM"),"OFF")</f>
        <v>OFF</v>
      </c>
      <c r="X37" t="str">
        <f>IFERROR(TEXT(TIMEVALUE(LEFT(Table2[[#This Row],[Saturday]],5)),"h:mm AM/PM")&amp;" - "&amp;TEXT(TIMEVALUE(RIGHT(Table2[[#This Row],[Saturday]],5)),"h:mm AM/PM"),"OFF")</f>
        <v>OFF</v>
      </c>
      <c r="Y37" t="str">
        <f>IFERROR(TEXT(TIMEVALUE(LEFT(Table2[[#This Row],[Sunday]],5)),"h:mm AM/PM")&amp;" - "&amp;TEXT(TIMEVALUE(RIGHT(Table2[[#This Row],[Sunday]],5)),"h:mm AM/PM"),"OFF")</f>
        <v>OFF</v>
      </c>
      <c r="Z37" t="str">
        <f t="shared" si="2"/>
        <v>Fri - Sat - Sun</v>
      </c>
      <c r="AA37" s="37">
        <f>Table2[[#This Row],[Break 1]]</f>
        <v>0.625</v>
      </c>
      <c r="AB37" s="37">
        <f>Table2[[#This Row],[Break 2]]</f>
        <v>0.875</v>
      </c>
      <c r="AC37" s="37">
        <f>Table2[[#This Row],[Lunch]]</f>
        <v>0.75</v>
      </c>
      <c r="AD37" s="37">
        <f>Table2[[#This Row],[Break 3]]</f>
        <v>0.97916666666666663</v>
      </c>
      <c r="AE37" t="str">
        <f>Table2[[#This Row],[Supervisor]]</f>
        <v>Manilyn Abellar</v>
      </c>
      <c r="AF37" t="str">
        <f>IFERROR(TEXT(TIMEVALUE(LEFT(Table2[[#This Row],[EST SHIFT]],5)),"h:mm AM/PM")&amp;" - "&amp;TEXT(TIMEVALUE(RIGHT(Table2[[#This Row],[EST SHIFT]],5)),"h:mm AM/PM"),"OFF")</f>
        <v>1:00 pm - 12:00 am</v>
      </c>
      <c r="AG37">
        <f t="shared" si="3"/>
        <v>1</v>
      </c>
    </row>
    <row r="38" spans="1:33" x14ac:dyDescent="0.25">
      <c r="A38" s="6" t="s">
        <v>92</v>
      </c>
      <c r="B38" s="1" t="s">
        <v>18</v>
      </c>
      <c r="C38" s="1" t="s">
        <v>18</v>
      </c>
      <c r="D38" s="5" t="s">
        <v>66</v>
      </c>
      <c r="E38" s="5" t="s">
        <v>66</v>
      </c>
      <c r="F38" s="5" t="s">
        <v>66</v>
      </c>
      <c r="G38" s="5" t="s">
        <v>66</v>
      </c>
      <c r="H38" s="1" t="s">
        <v>18</v>
      </c>
      <c r="I38" s="2" t="s">
        <v>49</v>
      </c>
      <c r="J38" s="3">
        <v>0.34375</v>
      </c>
      <c r="K38" s="3">
        <v>0.53125</v>
      </c>
      <c r="L38" s="3">
        <v>0.41666666666666669</v>
      </c>
      <c r="M38" s="3">
        <v>0.625</v>
      </c>
      <c r="N38" s="4" t="s">
        <v>42</v>
      </c>
      <c r="O38" s="5" t="s">
        <v>66</v>
      </c>
      <c r="P38">
        <f t="shared" si="0"/>
        <v>0</v>
      </c>
      <c r="R38" t="str">
        <f>Table2[[#This Row],[Name]]</f>
        <v>Joshua Bagaporo</v>
      </c>
      <c r="S38" t="str">
        <f>IFERROR(TEXT(TIMEVALUE(LEFT(B38,5)),"h:mm AM/PM")&amp;" - "&amp;TEXT(TIMEVALUE(RIGHT(B38,5)),"h:mm AM/PM"),"OFF")</f>
        <v>OFF</v>
      </c>
      <c r="T38" t="str">
        <f>IFERROR(TEXT(TIMEVALUE(LEFT(Table2[[#This Row],[Tuesday]],5)),"h:mm AM/PM")&amp;" - "&amp;TEXT(TIMEVALUE(RIGHT(Table2[[#This Row],[Tuesday]],5)),"h:mm AM/PM"),"OFF")</f>
        <v>OFF</v>
      </c>
      <c r="U38" t="str">
        <f>IFERROR(TEXT(TIMEVALUE(LEFT(Table2[[#This Row],[Wednesday]],5)),"h:mm AM/PM")&amp;" - "&amp;TEXT(TIMEVALUE(RIGHT(Table2[[#This Row],[Wednesday]],5)),"h:mm AM/PM"),"OFF")</f>
        <v>6:00 am - 5:00 pm</v>
      </c>
      <c r="V38" t="str">
        <f>IFERROR(TEXT(TIMEVALUE(LEFT(Table2[[#This Row],[Thursday]],5)),"h:mm AM/PM")&amp;" - "&amp;TEXT(TIMEVALUE(RIGHT(Table2[[#This Row],[Thursday]],5)),"h:mm AM/PM"),"OFF")</f>
        <v>6:00 am - 5:00 pm</v>
      </c>
      <c r="W38" t="str">
        <f>IFERROR(TEXT(TIMEVALUE(LEFT(Table2[[#This Row],[Friday]],5)),"h:mm AM/PM")&amp;" - "&amp;TEXT(TIMEVALUE(RIGHT(Table2[[#This Row],[Friday]],5)),"h:mm AM/PM"),"OFF")</f>
        <v>6:00 am - 5:00 pm</v>
      </c>
      <c r="X38" t="str">
        <f>IFERROR(TEXT(TIMEVALUE(LEFT(Table2[[#This Row],[Saturday]],5)),"h:mm AM/PM")&amp;" - "&amp;TEXT(TIMEVALUE(RIGHT(Table2[[#This Row],[Saturday]],5)),"h:mm AM/PM"),"OFF")</f>
        <v>6:00 am - 5:00 pm</v>
      </c>
      <c r="Y38" t="str">
        <f>IFERROR(TEXT(TIMEVALUE(LEFT(Table2[[#This Row],[Sunday]],5)),"h:mm AM/PM")&amp;" - "&amp;TEXT(TIMEVALUE(RIGHT(Table2[[#This Row],[Sunday]],5)),"h:mm AM/PM"),"OFF")</f>
        <v>OFF</v>
      </c>
      <c r="Z38" t="str">
        <f t="shared" si="2"/>
        <v>Mon - Tue - Sun</v>
      </c>
      <c r="AA38" s="37">
        <f>Table2[[#This Row],[Break 1]]</f>
        <v>0.34375</v>
      </c>
      <c r="AB38" s="37">
        <f>Table2[[#This Row],[Break 2]]</f>
        <v>0.53125</v>
      </c>
      <c r="AC38" s="37">
        <f>Table2[[#This Row],[Lunch]]</f>
        <v>0.41666666666666669</v>
      </c>
      <c r="AD38" s="37">
        <f>Table2[[#This Row],[Break 3]]</f>
        <v>0.625</v>
      </c>
      <c r="AE38" t="str">
        <f>Table2[[#This Row],[Supervisor]]</f>
        <v>Christopher Rodas</v>
      </c>
      <c r="AF38" t="str">
        <f>IFERROR(TEXT(TIMEVALUE(LEFT(Table2[[#This Row],[EST SHIFT]],5)),"h:mm AM/PM")&amp;" - "&amp;TEXT(TIMEVALUE(RIGHT(Table2[[#This Row],[EST SHIFT]],5)),"h:mm AM/PM"),"OFF")</f>
        <v>6:00 am - 5:00 pm</v>
      </c>
      <c r="AG38">
        <f t="shared" si="3"/>
        <v>0</v>
      </c>
    </row>
    <row r="39" spans="1:33" x14ac:dyDescent="0.25">
      <c r="A39" s="6" t="s">
        <v>93</v>
      </c>
      <c r="B39" s="1" t="s">
        <v>36</v>
      </c>
      <c r="C39" s="1" t="s">
        <v>36</v>
      </c>
      <c r="D39" s="1" t="s">
        <v>36</v>
      </c>
      <c r="E39" s="1" t="s">
        <v>18</v>
      </c>
      <c r="F39" s="1" t="s">
        <v>36</v>
      </c>
      <c r="G39" s="1" t="s">
        <v>18</v>
      </c>
      <c r="H39" s="1" t="s">
        <v>18</v>
      </c>
      <c r="I39" s="2" t="s">
        <v>26</v>
      </c>
      <c r="J39" s="3">
        <v>0.45833333333333331</v>
      </c>
      <c r="K39" s="3">
        <v>0.55208333333333337</v>
      </c>
      <c r="L39" s="3">
        <v>0.625</v>
      </c>
      <c r="M39" s="3">
        <v>0.77083333333333337</v>
      </c>
      <c r="N39" s="4" t="s">
        <v>38</v>
      </c>
      <c r="O39" s="1" t="s">
        <v>36</v>
      </c>
      <c r="P39">
        <f t="shared" si="0"/>
        <v>0</v>
      </c>
      <c r="R39" t="str">
        <f>Table2[[#This Row],[Name]]</f>
        <v>Joshua Mendoza</v>
      </c>
      <c r="S39" t="str">
        <f>IFERROR(TEXT(TIMEVALUE(LEFT(B39,5)),"h:mm AM/PM")&amp;" - "&amp;TEXT(TIMEVALUE(RIGHT(B39,5)),"h:mm AM/PM"),"OFF")</f>
        <v>9:00 am - 8:00 pm</v>
      </c>
      <c r="T39" t="str">
        <f>IFERROR(TEXT(TIMEVALUE(LEFT(Table2[[#This Row],[Tuesday]],5)),"h:mm AM/PM")&amp;" - "&amp;TEXT(TIMEVALUE(RIGHT(Table2[[#This Row],[Tuesday]],5)),"h:mm AM/PM"),"OFF")</f>
        <v>9:00 am - 8:00 pm</v>
      </c>
      <c r="U39" t="str">
        <f>IFERROR(TEXT(TIMEVALUE(LEFT(Table2[[#This Row],[Wednesday]],5)),"h:mm AM/PM")&amp;" - "&amp;TEXT(TIMEVALUE(RIGHT(Table2[[#This Row],[Wednesday]],5)),"h:mm AM/PM"),"OFF")</f>
        <v>9:00 am - 8:00 pm</v>
      </c>
      <c r="V39" t="str">
        <f>IFERROR(TEXT(TIMEVALUE(LEFT(Table2[[#This Row],[Thursday]],5)),"h:mm AM/PM")&amp;" - "&amp;TEXT(TIMEVALUE(RIGHT(Table2[[#This Row],[Thursday]],5)),"h:mm AM/PM"),"OFF")</f>
        <v>OFF</v>
      </c>
      <c r="W39" t="str">
        <f>IFERROR(TEXT(TIMEVALUE(LEFT(Table2[[#This Row],[Friday]],5)),"h:mm AM/PM")&amp;" - "&amp;TEXT(TIMEVALUE(RIGHT(Table2[[#This Row],[Friday]],5)),"h:mm AM/PM"),"OFF")</f>
        <v>9:00 am - 8:00 pm</v>
      </c>
      <c r="X39" t="str">
        <f>IFERROR(TEXT(TIMEVALUE(LEFT(Table2[[#This Row],[Saturday]],5)),"h:mm AM/PM")&amp;" - "&amp;TEXT(TIMEVALUE(RIGHT(Table2[[#This Row],[Saturday]],5)),"h:mm AM/PM"),"OFF")</f>
        <v>OFF</v>
      </c>
      <c r="Y39" t="str">
        <f>IFERROR(TEXT(TIMEVALUE(LEFT(Table2[[#This Row],[Sunday]],5)),"h:mm AM/PM")&amp;" - "&amp;TEXT(TIMEVALUE(RIGHT(Table2[[#This Row],[Sunday]],5)),"h:mm AM/PM"),"OFF")</f>
        <v>OFF</v>
      </c>
      <c r="Z39" t="str">
        <f t="shared" si="2"/>
        <v>Thu - Sat - Sun</v>
      </c>
      <c r="AA39" s="37">
        <f>Table2[[#This Row],[Break 1]]</f>
        <v>0.45833333333333331</v>
      </c>
      <c r="AB39" s="37">
        <f>Table2[[#This Row],[Break 2]]</f>
        <v>0.55208333333333337</v>
      </c>
      <c r="AC39" s="37">
        <f>Table2[[#This Row],[Lunch]]</f>
        <v>0.625</v>
      </c>
      <c r="AD39" s="37">
        <f>Table2[[#This Row],[Break 3]]</f>
        <v>0.77083333333333337</v>
      </c>
      <c r="AE39" t="str">
        <f>Table2[[#This Row],[Supervisor]]</f>
        <v>Anmecha Valencia</v>
      </c>
      <c r="AF39" t="str">
        <f>IFERROR(TEXT(TIMEVALUE(LEFT(Table2[[#This Row],[EST SHIFT]],5)),"h:mm AM/PM")&amp;" - "&amp;TEXT(TIMEVALUE(RIGHT(Table2[[#This Row],[EST SHIFT]],5)),"h:mm AM/PM"),"OFF")</f>
        <v>9:00 am - 8:00 pm</v>
      </c>
      <c r="AG39">
        <f t="shared" si="3"/>
        <v>0</v>
      </c>
    </row>
    <row r="40" spans="1:33" x14ac:dyDescent="0.25">
      <c r="A40" s="6" t="s">
        <v>94</v>
      </c>
      <c r="B40" s="1" t="s">
        <v>25</v>
      </c>
      <c r="C40" s="1" t="s">
        <v>18</v>
      </c>
      <c r="D40" s="1" t="s">
        <v>25</v>
      </c>
      <c r="E40" s="1" t="s">
        <v>25</v>
      </c>
      <c r="F40" s="1" t="s">
        <v>25</v>
      </c>
      <c r="G40" s="1" t="s">
        <v>18</v>
      </c>
      <c r="H40" s="1" t="s">
        <v>18</v>
      </c>
      <c r="I40" s="2" t="s">
        <v>44</v>
      </c>
      <c r="J40" s="3">
        <v>0.42708333333333331</v>
      </c>
      <c r="K40" s="3">
        <v>0.63541666666666663</v>
      </c>
      <c r="L40" s="3">
        <v>0.51041666666666663</v>
      </c>
      <c r="M40" s="3">
        <v>0.73958333333333337</v>
      </c>
      <c r="N40" s="4" t="s">
        <v>20</v>
      </c>
      <c r="O40" s="1" t="s">
        <v>25</v>
      </c>
      <c r="P40">
        <f t="shared" si="0"/>
        <v>0</v>
      </c>
      <c r="R40" t="str">
        <f>Table2[[#This Row],[Name]]</f>
        <v>Juvy Labong</v>
      </c>
      <c r="S40" t="str">
        <f>IFERROR(TEXT(TIMEVALUE(LEFT(B40,5)),"h:mm AM/PM")&amp;" - "&amp;TEXT(TIMEVALUE(RIGHT(B40,5)),"h:mm AM/PM"),"OFF")</f>
        <v>8:00 am - 7:00 pm</v>
      </c>
      <c r="T40" t="str">
        <f>IFERROR(TEXT(TIMEVALUE(LEFT(Table2[[#This Row],[Tuesday]],5)),"h:mm AM/PM")&amp;" - "&amp;TEXT(TIMEVALUE(RIGHT(Table2[[#This Row],[Tuesday]],5)),"h:mm AM/PM"),"OFF")</f>
        <v>OFF</v>
      </c>
      <c r="U40" t="str">
        <f>IFERROR(TEXT(TIMEVALUE(LEFT(Table2[[#This Row],[Wednesday]],5)),"h:mm AM/PM")&amp;" - "&amp;TEXT(TIMEVALUE(RIGHT(Table2[[#This Row],[Wednesday]],5)),"h:mm AM/PM"),"OFF")</f>
        <v>8:00 am - 7:00 pm</v>
      </c>
      <c r="V40" t="str">
        <f>IFERROR(TEXT(TIMEVALUE(LEFT(Table2[[#This Row],[Thursday]],5)),"h:mm AM/PM")&amp;" - "&amp;TEXT(TIMEVALUE(RIGHT(Table2[[#This Row],[Thursday]],5)),"h:mm AM/PM"),"OFF")</f>
        <v>8:00 am - 7:00 pm</v>
      </c>
      <c r="W40" t="str">
        <f>IFERROR(TEXT(TIMEVALUE(LEFT(Table2[[#This Row],[Friday]],5)),"h:mm AM/PM")&amp;" - "&amp;TEXT(TIMEVALUE(RIGHT(Table2[[#This Row],[Friday]],5)),"h:mm AM/PM"),"OFF")</f>
        <v>8:00 am - 7:00 pm</v>
      </c>
      <c r="X40" t="str">
        <f>IFERROR(TEXT(TIMEVALUE(LEFT(Table2[[#This Row],[Saturday]],5)),"h:mm AM/PM")&amp;" - "&amp;TEXT(TIMEVALUE(RIGHT(Table2[[#This Row],[Saturday]],5)),"h:mm AM/PM"),"OFF")</f>
        <v>OFF</v>
      </c>
      <c r="Y40" t="str">
        <f>IFERROR(TEXT(TIMEVALUE(LEFT(Table2[[#This Row],[Sunday]],5)),"h:mm AM/PM")&amp;" - "&amp;TEXT(TIMEVALUE(RIGHT(Table2[[#This Row],[Sunday]],5)),"h:mm AM/PM"),"OFF")</f>
        <v>OFF</v>
      </c>
      <c r="Z40" t="str">
        <f t="shared" si="2"/>
        <v>Tue - Sat - Sun</v>
      </c>
      <c r="AA40" s="37">
        <f>Table2[[#This Row],[Break 1]]</f>
        <v>0.42708333333333331</v>
      </c>
      <c r="AB40" s="37">
        <f>Table2[[#This Row],[Break 2]]</f>
        <v>0.63541666666666663</v>
      </c>
      <c r="AC40" s="37">
        <f>Table2[[#This Row],[Lunch]]</f>
        <v>0.51041666666666663</v>
      </c>
      <c r="AD40" s="37">
        <f>Table2[[#This Row],[Break 3]]</f>
        <v>0.73958333333333337</v>
      </c>
      <c r="AE40" t="str">
        <f>Table2[[#This Row],[Supervisor]]</f>
        <v>Remmo Panaligan</v>
      </c>
      <c r="AF40" t="str">
        <f>IFERROR(TEXT(TIMEVALUE(LEFT(Table2[[#This Row],[EST SHIFT]],5)),"h:mm AM/PM")&amp;" - "&amp;TEXT(TIMEVALUE(RIGHT(Table2[[#This Row],[EST SHIFT]],5)),"h:mm AM/PM"),"OFF")</f>
        <v>8:00 am - 7:00 pm</v>
      </c>
      <c r="AG40">
        <f t="shared" si="3"/>
        <v>0</v>
      </c>
    </row>
    <row r="41" spans="1:33" x14ac:dyDescent="0.25">
      <c r="A41" s="6" t="s">
        <v>95</v>
      </c>
      <c r="B41" s="1" t="s">
        <v>96</v>
      </c>
      <c r="C41" s="1" t="s">
        <v>96</v>
      </c>
      <c r="D41" s="1" t="s">
        <v>96</v>
      </c>
      <c r="E41" s="1" t="s">
        <v>18</v>
      </c>
      <c r="F41" s="1" t="s">
        <v>18</v>
      </c>
      <c r="G41" s="1" t="s">
        <v>96</v>
      </c>
      <c r="H41" s="1" t="s">
        <v>18</v>
      </c>
      <c r="I41" s="2" t="s">
        <v>97</v>
      </c>
      <c r="J41" s="3">
        <v>5.2083333333333336E-2</v>
      </c>
      <c r="K41" s="3">
        <v>0.27083333333333331</v>
      </c>
      <c r="L41" s="3">
        <v>0.125</v>
      </c>
      <c r="M41" s="3">
        <v>0.35416666666666669</v>
      </c>
      <c r="N41" s="4" t="s">
        <v>42</v>
      </c>
      <c r="O41" s="1" t="s">
        <v>96</v>
      </c>
      <c r="P41">
        <f t="shared" si="0"/>
        <v>1</v>
      </c>
      <c r="R41" t="str">
        <f>Table2[[#This Row],[Name]]</f>
        <v>Kathleen Melecio</v>
      </c>
      <c r="S41" t="str">
        <f>IFERROR(TEXT(TIMEVALUE(LEFT(B41,5)),"h:mm AM/PM")&amp;" - "&amp;TEXT(TIMEVALUE(RIGHT(B41,5)),"h:mm AM/PM"),"OFF")</f>
        <v>10:30 pm - 9:30 am</v>
      </c>
      <c r="T41" t="str">
        <f>IFERROR(TEXT(TIMEVALUE(LEFT(Table2[[#This Row],[Tuesday]],5)),"h:mm AM/PM")&amp;" - "&amp;TEXT(TIMEVALUE(RIGHT(Table2[[#This Row],[Tuesday]],5)),"h:mm AM/PM"),"OFF")</f>
        <v>10:30 pm - 9:30 am</v>
      </c>
      <c r="U41" t="str">
        <f>IFERROR(TEXT(TIMEVALUE(LEFT(Table2[[#This Row],[Wednesday]],5)),"h:mm AM/PM")&amp;" - "&amp;TEXT(TIMEVALUE(RIGHT(Table2[[#This Row],[Wednesday]],5)),"h:mm AM/PM"),"OFF")</f>
        <v>10:30 pm - 9:30 am</v>
      </c>
      <c r="V41" t="str">
        <f>IFERROR(TEXT(TIMEVALUE(LEFT(Table2[[#This Row],[Thursday]],5)),"h:mm AM/PM")&amp;" - "&amp;TEXT(TIMEVALUE(RIGHT(Table2[[#This Row],[Thursday]],5)),"h:mm AM/PM"),"OFF")</f>
        <v>OFF</v>
      </c>
      <c r="W41" t="str">
        <f>IFERROR(TEXT(TIMEVALUE(LEFT(Table2[[#This Row],[Friday]],5)),"h:mm AM/PM")&amp;" - "&amp;TEXT(TIMEVALUE(RIGHT(Table2[[#This Row],[Friday]],5)),"h:mm AM/PM"),"OFF")</f>
        <v>OFF</v>
      </c>
      <c r="X41" t="str">
        <f>IFERROR(TEXT(TIMEVALUE(LEFT(Table2[[#This Row],[Saturday]],5)),"h:mm AM/PM")&amp;" - "&amp;TEXT(TIMEVALUE(RIGHT(Table2[[#This Row],[Saturday]],5)),"h:mm AM/PM"),"OFF")</f>
        <v>10:30 pm - 9:30 am</v>
      </c>
      <c r="Y41" t="str">
        <f>IFERROR(TEXT(TIMEVALUE(LEFT(Table2[[#This Row],[Sunday]],5)),"h:mm AM/PM")&amp;" - "&amp;TEXT(TIMEVALUE(RIGHT(Table2[[#This Row],[Sunday]],5)),"h:mm AM/PM"),"OFF")</f>
        <v>OFF</v>
      </c>
      <c r="Z41" t="str">
        <f t="shared" si="2"/>
        <v>Thu - Fri - Sun</v>
      </c>
      <c r="AA41" s="37">
        <f>Table2[[#This Row],[Break 1]]</f>
        <v>5.2083333333333336E-2</v>
      </c>
      <c r="AB41" s="37">
        <f>Table2[[#This Row],[Break 2]]</f>
        <v>0.27083333333333331</v>
      </c>
      <c r="AC41" s="37">
        <f>Table2[[#This Row],[Lunch]]</f>
        <v>0.125</v>
      </c>
      <c r="AD41" s="37">
        <f>Table2[[#This Row],[Break 3]]</f>
        <v>0.35416666666666669</v>
      </c>
      <c r="AE41" t="str">
        <f>Table2[[#This Row],[Supervisor]]</f>
        <v>Christopher Rodas</v>
      </c>
      <c r="AF41" t="str">
        <f>IFERROR(TEXT(TIMEVALUE(LEFT(Table2[[#This Row],[EST SHIFT]],5)),"h:mm AM/PM")&amp;" - "&amp;TEXT(TIMEVALUE(RIGHT(Table2[[#This Row],[EST SHIFT]],5)),"h:mm AM/PM"),"OFF")</f>
        <v>10:30 pm - 9:30 am</v>
      </c>
      <c r="AG41">
        <f t="shared" si="3"/>
        <v>1</v>
      </c>
    </row>
    <row r="42" spans="1:33" x14ac:dyDescent="0.25">
      <c r="A42" s="6" t="s">
        <v>98</v>
      </c>
      <c r="B42" s="1" t="s">
        <v>25</v>
      </c>
      <c r="C42" s="1" t="s">
        <v>25</v>
      </c>
      <c r="D42" s="1" t="s">
        <v>18</v>
      </c>
      <c r="E42" s="1" t="s">
        <v>25</v>
      </c>
      <c r="F42" s="1" t="s">
        <v>25</v>
      </c>
      <c r="G42" s="1" t="s">
        <v>18</v>
      </c>
      <c r="H42" s="1" t="s">
        <v>18</v>
      </c>
      <c r="I42" s="2" t="s">
        <v>47</v>
      </c>
      <c r="J42" s="3">
        <v>0.4375</v>
      </c>
      <c r="K42" s="3">
        <v>0.6875</v>
      </c>
      <c r="L42" s="3">
        <v>0.5625</v>
      </c>
      <c r="M42" s="3">
        <v>0.75</v>
      </c>
      <c r="N42" s="4" t="s">
        <v>34</v>
      </c>
      <c r="O42" s="1" t="s">
        <v>25</v>
      </c>
      <c r="P42">
        <f t="shared" si="0"/>
        <v>0</v>
      </c>
      <c r="R42" t="str">
        <f>Table2[[#This Row],[Name]]</f>
        <v>Kenneth Oribello</v>
      </c>
      <c r="S42" t="str">
        <f>IFERROR(TEXT(TIMEVALUE(LEFT(B42,5)),"h:mm AM/PM")&amp;" - "&amp;TEXT(TIMEVALUE(RIGHT(B42,5)),"h:mm AM/PM"),"OFF")</f>
        <v>8:00 am - 7:00 pm</v>
      </c>
      <c r="T42" t="str">
        <f>IFERROR(TEXT(TIMEVALUE(LEFT(Table2[[#This Row],[Tuesday]],5)),"h:mm AM/PM")&amp;" - "&amp;TEXT(TIMEVALUE(RIGHT(Table2[[#This Row],[Tuesday]],5)),"h:mm AM/PM"),"OFF")</f>
        <v>8:00 am - 7:00 pm</v>
      </c>
      <c r="U42" t="str">
        <f>IFERROR(TEXT(TIMEVALUE(LEFT(Table2[[#This Row],[Wednesday]],5)),"h:mm AM/PM")&amp;" - "&amp;TEXT(TIMEVALUE(RIGHT(Table2[[#This Row],[Wednesday]],5)),"h:mm AM/PM"),"OFF")</f>
        <v>OFF</v>
      </c>
      <c r="V42" t="str">
        <f>IFERROR(TEXT(TIMEVALUE(LEFT(Table2[[#This Row],[Thursday]],5)),"h:mm AM/PM")&amp;" - "&amp;TEXT(TIMEVALUE(RIGHT(Table2[[#This Row],[Thursday]],5)),"h:mm AM/PM"),"OFF")</f>
        <v>8:00 am - 7:00 pm</v>
      </c>
      <c r="W42" t="str">
        <f>IFERROR(TEXT(TIMEVALUE(LEFT(Table2[[#This Row],[Friday]],5)),"h:mm AM/PM")&amp;" - "&amp;TEXT(TIMEVALUE(RIGHT(Table2[[#This Row],[Friday]],5)),"h:mm AM/PM"),"OFF")</f>
        <v>8:00 am - 7:00 pm</v>
      </c>
      <c r="X42" t="str">
        <f>IFERROR(TEXT(TIMEVALUE(LEFT(Table2[[#This Row],[Saturday]],5)),"h:mm AM/PM")&amp;" - "&amp;TEXT(TIMEVALUE(RIGHT(Table2[[#This Row],[Saturday]],5)),"h:mm AM/PM"),"OFF")</f>
        <v>OFF</v>
      </c>
      <c r="Y42" t="str">
        <f>IFERROR(TEXT(TIMEVALUE(LEFT(Table2[[#This Row],[Sunday]],5)),"h:mm AM/PM")&amp;" - "&amp;TEXT(TIMEVALUE(RIGHT(Table2[[#This Row],[Sunday]],5)),"h:mm AM/PM"),"OFF")</f>
        <v>OFF</v>
      </c>
      <c r="Z42" t="str">
        <f t="shared" si="2"/>
        <v>Wed - Sat - Sun</v>
      </c>
      <c r="AA42" s="37">
        <f>Table2[[#This Row],[Break 1]]</f>
        <v>0.4375</v>
      </c>
      <c r="AB42" s="37">
        <f>Table2[[#This Row],[Break 2]]</f>
        <v>0.6875</v>
      </c>
      <c r="AC42" s="37">
        <f>Table2[[#This Row],[Lunch]]</f>
        <v>0.5625</v>
      </c>
      <c r="AD42" s="37">
        <f>Table2[[#This Row],[Break 3]]</f>
        <v>0.75</v>
      </c>
      <c r="AE42" t="str">
        <f>Table2[[#This Row],[Supervisor]]</f>
        <v>Michael Dominguez</v>
      </c>
      <c r="AF42" t="str">
        <f>IFERROR(TEXT(TIMEVALUE(LEFT(Table2[[#This Row],[EST SHIFT]],5)),"h:mm AM/PM")&amp;" - "&amp;TEXT(TIMEVALUE(RIGHT(Table2[[#This Row],[EST SHIFT]],5)),"h:mm AM/PM"),"OFF")</f>
        <v>8:00 am - 7:00 pm</v>
      </c>
      <c r="AG42">
        <f t="shared" si="3"/>
        <v>0</v>
      </c>
    </row>
    <row r="43" spans="1:33" x14ac:dyDescent="0.25">
      <c r="A43" s="6" t="s">
        <v>99</v>
      </c>
      <c r="B43" s="1" t="s">
        <v>18</v>
      </c>
      <c r="C43" s="1" t="s">
        <v>100</v>
      </c>
      <c r="D43" s="1" t="s">
        <v>100</v>
      </c>
      <c r="E43" s="1" t="s">
        <v>100</v>
      </c>
      <c r="F43" s="1" t="s">
        <v>100</v>
      </c>
      <c r="G43" s="1" t="s">
        <v>18</v>
      </c>
      <c r="H43" s="1" t="s">
        <v>18</v>
      </c>
      <c r="I43" s="2" t="s">
        <v>49</v>
      </c>
      <c r="J43" s="3">
        <v>0.8125</v>
      </c>
      <c r="K43" s="3">
        <v>0</v>
      </c>
      <c r="L43" s="3">
        <v>0.90625</v>
      </c>
      <c r="M43" s="3">
        <v>0.10416666666666667</v>
      </c>
      <c r="N43" s="4" t="s">
        <v>27</v>
      </c>
      <c r="O43" s="1" t="s">
        <v>100</v>
      </c>
      <c r="P43">
        <f t="shared" si="0"/>
        <v>1</v>
      </c>
      <c r="R43" t="str">
        <f>Table2[[#This Row],[Name]]</f>
        <v>Kirby Santos</v>
      </c>
      <c r="S43" t="str">
        <f>IFERROR(TEXT(TIMEVALUE(LEFT(B43,5)),"h:mm AM/PM")&amp;" - "&amp;TEXT(TIMEVALUE(RIGHT(B43,5)),"h:mm AM/PM"),"OFF")</f>
        <v>OFF</v>
      </c>
      <c r="T43" t="str">
        <f>IFERROR(TEXT(TIMEVALUE(LEFT(Table2[[#This Row],[Tuesday]],5)),"h:mm AM/PM")&amp;" - "&amp;TEXT(TIMEVALUE(RIGHT(Table2[[#This Row],[Tuesday]],5)),"h:mm AM/PM"),"OFF")</f>
        <v>5:00 pm - 4:00 am</v>
      </c>
      <c r="U43" t="str">
        <f>IFERROR(TEXT(TIMEVALUE(LEFT(Table2[[#This Row],[Wednesday]],5)),"h:mm AM/PM")&amp;" - "&amp;TEXT(TIMEVALUE(RIGHT(Table2[[#This Row],[Wednesday]],5)),"h:mm AM/PM"),"OFF")</f>
        <v>5:00 pm - 4:00 am</v>
      </c>
      <c r="V43" t="str">
        <f>IFERROR(TEXT(TIMEVALUE(LEFT(Table2[[#This Row],[Thursday]],5)),"h:mm AM/PM")&amp;" - "&amp;TEXT(TIMEVALUE(RIGHT(Table2[[#This Row],[Thursday]],5)),"h:mm AM/PM"),"OFF")</f>
        <v>5:00 pm - 4:00 am</v>
      </c>
      <c r="W43" t="str">
        <f>IFERROR(TEXT(TIMEVALUE(LEFT(Table2[[#This Row],[Friday]],5)),"h:mm AM/PM")&amp;" - "&amp;TEXT(TIMEVALUE(RIGHT(Table2[[#This Row],[Friday]],5)),"h:mm AM/PM"),"OFF")</f>
        <v>5:00 pm - 4:00 am</v>
      </c>
      <c r="X43" t="str">
        <f>IFERROR(TEXT(TIMEVALUE(LEFT(Table2[[#This Row],[Saturday]],5)),"h:mm AM/PM")&amp;" - "&amp;TEXT(TIMEVALUE(RIGHT(Table2[[#This Row],[Saturday]],5)),"h:mm AM/PM"),"OFF")</f>
        <v>OFF</v>
      </c>
      <c r="Y43" t="str">
        <f>IFERROR(TEXT(TIMEVALUE(LEFT(Table2[[#This Row],[Sunday]],5)),"h:mm AM/PM")&amp;" - "&amp;TEXT(TIMEVALUE(RIGHT(Table2[[#This Row],[Sunday]],5)),"h:mm AM/PM"),"OFF")</f>
        <v>OFF</v>
      </c>
      <c r="Z43" t="str">
        <f t="shared" si="2"/>
        <v>Mon - Sat - Sun</v>
      </c>
      <c r="AA43" s="37">
        <f>Table2[[#This Row],[Break 1]]</f>
        <v>0.8125</v>
      </c>
      <c r="AB43" s="37">
        <f>Table2[[#This Row],[Break 2]]</f>
        <v>0</v>
      </c>
      <c r="AC43" s="37">
        <f>Table2[[#This Row],[Lunch]]</f>
        <v>0.90625</v>
      </c>
      <c r="AD43" s="37">
        <f>Table2[[#This Row],[Break 3]]</f>
        <v>0.10416666666666667</v>
      </c>
      <c r="AE43" t="str">
        <f>Table2[[#This Row],[Supervisor]]</f>
        <v>Manilyn Abellar</v>
      </c>
      <c r="AF43" t="str">
        <f>IFERROR(TEXT(TIMEVALUE(LEFT(Table2[[#This Row],[EST SHIFT]],5)),"h:mm AM/PM")&amp;" - "&amp;TEXT(TIMEVALUE(RIGHT(Table2[[#This Row],[EST SHIFT]],5)),"h:mm AM/PM"),"OFF")</f>
        <v>5:00 pm - 4:00 am</v>
      </c>
      <c r="AG43">
        <f t="shared" si="3"/>
        <v>1</v>
      </c>
    </row>
    <row r="44" spans="1:33" x14ac:dyDescent="0.25">
      <c r="A44" s="6" t="s">
        <v>101</v>
      </c>
      <c r="B44" s="1" t="s">
        <v>25</v>
      </c>
      <c r="C44" s="1" t="s">
        <v>25</v>
      </c>
      <c r="D44" s="1" t="s">
        <v>18</v>
      </c>
      <c r="E44" s="1" t="s">
        <v>25</v>
      </c>
      <c r="F44" s="1" t="s">
        <v>25</v>
      </c>
      <c r="G44" s="1" t="s">
        <v>18</v>
      </c>
      <c r="H44" s="1" t="s">
        <v>18</v>
      </c>
      <c r="I44" s="2" t="s">
        <v>47</v>
      </c>
      <c r="J44" s="3">
        <v>0.41666666666666669</v>
      </c>
      <c r="K44" s="3">
        <v>0.625</v>
      </c>
      <c r="L44" s="3">
        <v>0.5</v>
      </c>
      <c r="M44" s="3">
        <v>0.71875</v>
      </c>
      <c r="N44" s="4" t="s">
        <v>20</v>
      </c>
      <c r="O44" s="1" t="s">
        <v>25</v>
      </c>
      <c r="P44">
        <f t="shared" si="0"/>
        <v>0</v>
      </c>
      <c r="R44" t="str">
        <f>Table2[[#This Row],[Name]]</f>
        <v>Lanz Jason Medallo</v>
      </c>
      <c r="S44" t="str">
        <f>IFERROR(TEXT(TIMEVALUE(LEFT(B44,5)),"h:mm AM/PM")&amp;" - "&amp;TEXT(TIMEVALUE(RIGHT(B44,5)),"h:mm AM/PM"),"OFF")</f>
        <v>8:00 am - 7:00 pm</v>
      </c>
      <c r="T44" t="str">
        <f>IFERROR(TEXT(TIMEVALUE(LEFT(Table2[[#This Row],[Tuesday]],5)),"h:mm AM/PM")&amp;" - "&amp;TEXT(TIMEVALUE(RIGHT(Table2[[#This Row],[Tuesday]],5)),"h:mm AM/PM"),"OFF")</f>
        <v>8:00 am - 7:00 pm</v>
      </c>
      <c r="U44" t="str">
        <f>IFERROR(TEXT(TIMEVALUE(LEFT(Table2[[#This Row],[Wednesday]],5)),"h:mm AM/PM")&amp;" - "&amp;TEXT(TIMEVALUE(RIGHT(Table2[[#This Row],[Wednesday]],5)),"h:mm AM/PM"),"OFF")</f>
        <v>OFF</v>
      </c>
      <c r="V44" t="str">
        <f>IFERROR(TEXT(TIMEVALUE(LEFT(Table2[[#This Row],[Thursday]],5)),"h:mm AM/PM")&amp;" - "&amp;TEXT(TIMEVALUE(RIGHT(Table2[[#This Row],[Thursday]],5)),"h:mm AM/PM"),"OFF")</f>
        <v>8:00 am - 7:00 pm</v>
      </c>
      <c r="W44" t="str">
        <f>IFERROR(TEXT(TIMEVALUE(LEFT(Table2[[#This Row],[Friday]],5)),"h:mm AM/PM")&amp;" - "&amp;TEXT(TIMEVALUE(RIGHT(Table2[[#This Row],[Friday]],5)),"h:mm AM/PM"),"OFF")</f>
        <v>8:00 am - 7:00 pm</v>
      </c>
      <c r="X44" t="str">
        <f>IFERROR(TEXT(TIMEVALUE(LEFT(Table2[[#This Row],[Saturday]],5)),"h:mm AM/PM")&amp;" - "&amp;TEXT(TIMEVALUE(RIGHT(Table2[[#This Row],[Saturday]],5)),"h:mm AM/PM"),"OFF")</f>
        <v>OFF</v>
      </c>
      <c r="Y44" t="str">
        <f>IFERROR(TEXT(TIMEVALUE(LEFT(Table2[[#This Row],[Sunday]],5)),"h:mm AM/PM")&amp;" - "&amp;TEXT(TIMEVALUE(RIGHT(Table2[[#This Row],[Sunday]],5)),"h:mm AM/PM"),"OFF")</f>
        <v>OFF</v>
      </c>
      <c r="Z44" t="str">
        <f t="shared" si="2"/>
        <v>Wed - Sat - Sun</v>
      </c>
      <c r="AA44" s="37">
        <f>Table2[[#This Row],[Break 1]]</f>
        <v>0.41666666666666669</v>
      </c>
      <c r="AB44" s="37">
        <f>Table2[[#This Row],[Break 2]]</f>
        <v>0.625</v>
      </c>
      <c r="AC44" s="37">
        <f>Table2[[#This Row],[Lunch]]</f>
        <v>0.5</v>
      </c>
      <c r="AD44" s="37">
        <f>Table2[[#This Row],[Break 3]]</f>
        <v>0.71875</v>
      </c>
      <c r="AE44" t="str">
        <f>Table2[[#This Row],[Supervisor]]</f>
        <v>Remmo Panaligan</v>
      </c>
      <c r="AF44" t="str">
        <f>IFERROR(TEXT(TIMEVALUE(LEFT(Table2[[#This Row],[EST SHIFT]],5)),"h:mm AM/PM")&amp;" - "&amp;TEXT(TIMEVALUE(RIGHT(Table2[[#This Row],[EST SHIFT]],5)),"h:mm AM/PM"),"OFF")</f>
        <v>8:00 am - 7:00 pm</v>
      </c>
      <c r="AG44">
        <f t="shared" si="3"/>
        <v>0</v>
      </c>
    </row>
    <row r="45" spans="1:33" x14ac:dyDescent="0.25">
      <c r="A45" s="6" t="s">
        <v>102</v>
      </c>
      <c r="B45" s="1" t="s">
        <v>36</v>
      </c>
      <c r="C45" s="1" t="s">
        <v>36</v>
      </c>
      <c r="D45" s="1" t="s">
        <v>18</v>
      </c>
      <c r="E45" s="1" t="s">
        <v>36</v>
      </c>
      <c r="F45" s="1" t="s">
        <v>36</v>
      </c>
      <c r="G45" s="1" t="s">
        <v>18</v>
      </c>
      <c r="H45" s="1" t="s">
        <v>18</v>
      </c>
      <c r="I45" s="2" t="s">
        <v>47</v>
      </c>
      <c r="J45" s="3">
        <v>0.48958333333333331</v>
      </c>
      <c r="K45" s="3">
        <v>0.69791666666666663</v>
      </c>
      <c r="L45" s="3">
        <v>0.57291666666666663</v>
      </c>
      <c r="M45" s="3">
        <v>0.78125</v>
      </c>
      <c r="N45" s="4" t="s">
        <v>34</v>
      </c>
      <c r="O45" s="1" t="s">
        <v>36</v>
      </c>
      <c r="P45">
        <f t="shared" si="0"/>
        <v>0</v>
      </c>
      <c r="R45" t="str">
        <f>Table2[[#This Row],[Name]]</f>
        <v>Lee Joseph Agbanlog</v>
      </c>
      <c r="S45" t="str">
        <f>IFERROR(TEXT(TIMEVALUE(LEFT(B45,5)),"h:mm AM/PM")&amp;" - "&amp;TEXT(TIMEVALUE(RIGHT(B45,5)),"h:mm AM/PM"),"OFF")</f>
        <v>9:00 am - 8:00 pm</v>
      </c>
      <c r="T45" t="str">
        <f>IFERROR(TEXT(TIMEVALUE(LEFT(Table2[[#This Row],[Tuesday]],5)),"h:mm AM/PM")&amp;" - "&amp;TEXT(TIMEVALUE(RIGHT(Table2[[#This Row],[Tuesday]],5)),"h:mm AM/PM"),"OFF")</f>
        <v>9:00 am - 8:00 pm</v>
      </c>
      <c r="U45" t="str">
        <f>IFERROR(TEXT(TIMEVALUE(LEFT(Table2[[#This Row],[Wednesday]],5)),"h:mm AM/PM")&amp;" - "&amp;TEXT(TIMEVALUE(RIGHT(Table2[[#This Row],[Wednesday]],5)),"h:mm AM/PM"),"OFF")</f>
        <v>OFF</v>
      </c>
      <c r="V45" t="str">
        <f>IFERROR(TEXT(TIMEVALUE(LEFT(Table2[[#This Row],[Thursday]],5)),"h:mm AM/PM")&amp;" - "&amp;TEXT(TIMEVALUE(RIGHT(Table2[[#This Row],[Thursday]],5)),"h:mm AM/PM"),"OFF")</f>
        <v>9:00 am - 8:00 pm</v>
      </c>
      <c r="W45" t="str">
        <f>IFERROR(TEXT(TIMEVALUE(LEFT(Table2[[#This Row],[Friday]],5)),"h:mm AM/PM")&amp;" - "&amp;TEXT(TIMEVALUE(RIGHT(Table2[[#This Row],[Friday]],5)),"h:mm AM/PM"),"OFF")</f>
        <v>9:00 am - 8:00 pm</v>
      </c>
      <c r="X45" t="str">
        <f>IFERROR(TEXT(TIMEVALUE(LEFT(Table2[[#This Row],[Saturday]],5)),"h:mm AM/PM")&amp;" - "&amp;TEXT(TIMEVALUE(RIGHT(Table2[[#This Row],[Saturday]],5)),"h:mm AM/PM"),"OFF")</f>
        <v>OFF</v>
      </c>
      <c r="Y45" t="str">
        <f>IFERROR(TEXT(TIMEVALUE(LEFT(Table2[[#This Row],[Sunday]],5)),"h:mm AM/PM")&amp;" - "&amp;TEXT(TIMEVALUE(RIGHT(Table2[[#This Row],[Sunday]],5)),"h:mm AM/PM"),"OFF")</f>
        <v>OFF</v>
      </c>
      <c r="Z45" t="str">
        <f t="shared" si="2"/>
        <v>Wed - Sat - Sun</v>
      </c>
      <c r="AA45" s="37">
        <f>Table2[[#This Row],[Break 1]]</f>
        <v>0.48958333333333331</v>
      </c>
      <c r="AB45" s="37">
        <f>Table2[[#This Row],[Break 2]]</f>
        <v>0.69791666666666663</v>
      </c>
      <c r="AC45" s="37">
        <f>Table2[[#This Row],[Lunch]]</f>
        <v>0.57291666666666663</v>
      </c>
      <c r="AD45" s="37">
        <f>Table2[[#This Row],[Break 3]]</f>
        <v>0.78125</v>
      </c>
      <c r="AE45" t="str">
        <f>Table2[[#This Row],[Supervisor]]</f>
        <v>Michael Dominguez</v>
      </c>
      <c r="AF45" t="str">
        <f>IFERROR(TEXT(TIMEVALUE(LEFT(Table2[[#This Row],[EST SHIFT]],5)),"h:mm AM/PM")&amp;" - "&amp;TEXT(TIMEVALUE(RIGHT(Table2[[#This Row],[EST SHIFT]],5)),"h:mm AM/PM"),"OFF")</f>
        <v>9:00 am - 8:00 pm</v>
      </c>
      <c r="AG45">
        <f t="shared" si="3"/>
        <v>0</v>
      </c>
    </row>
    <row r="46" spans="1:33" x14ac:dyDescent="0.25">
      <c r="A46" s="6" t="s">
        <v>103</v>
      </c>
      <c r="B46" s="1" t="s">
        <v>36</v>
      </c>
      <c r="C46" s="1" t="s">
        <v>36</v>
      </c>
      <c r="D46" s="1" t="s">
        <v>36</v>
      </c>
      <c r="E46" s="1" t="s">
        <v>36</v>
      </c>
      <c r="F46" s="1" t="s">
        <v>18</v>
      </c>
      <c r="G46" s="1" t="s">
        <v>18</v>
      </c>
      <c r="H46" s="1" t="s">
        <v>18</v>
      </c>
      <c r="I46" s="2" t="s">
        <v>30</v>
      </c>
      <c r="J46" s="3">
        <v>0.45833333333333331</v>
      </c>
      <c r="K46" s="3">
        <v>0.67708333333333337</v>
      </c>
      <c r="L46" s="3">
        <v>0.55208333333333337</v>
      </c>
      <c r="M46" s="3">
        <v>0.77083333333333337</v>
      </c>
      <c r="N46" s="4" t="s">
        <v>38</v>
      </c>
      <c r="O46" s="1" t="s">
        <v>36</v>
      </c>
      <c r="P46">
        <f t="shared" si="0"/>
        <v>0</v>
      </c>
      <c r="R46" t="str">
        <f>Table2[[#This Row],[Name]]</f>
        <v>Lovelyn Nicole Magcuyao</v>
      </c>
      <c r="S46" t="str">
        <f>IFERROR(TEXT(TIMEVALUE(LEFT(B46,5)),"h:mm AM/PM")&amp;" - "&amp;TEXT(TIMEVALUE(RIGHT(B46,5)),"h:mm AM/PM"),"OFF")</f>
        <v>9:00 am - 8:00 pm</v>
      </c>
      <c r="T46" t="str">
        <f>IFERROR(TEXT(TIMEVALUE(LEFT(Table2[[#This Row],[Tuesday]],5)),"h:mm AM/PM")&amp;" - "&amp;TEXT(TIMEVALUE(RIGHT(Table2[[#This Row],[Tuesday]],5)),"h:mm AM/PM"),"OFF")</f>
        <v>9:00 am - 8:00 pm</v>
      </c>
      <c r="U46" t="str">
        <f>IFERROR(TEXT(TIMEVALUE(LEFT(Table2[[#This Row],[Wednesday]],5)),"h:mm AM/PM")&amp;" - "&amp;TEXT(TIMEVALUE(RIGHT(Table2[[#This Row],[Wednesday]],5)),"h:mm AM/PM"),"OFF")</f>
        <v>9:00 am - 8:00 pm</v>
      </c>
      <c r="V46" t="str">
        <f>IFERROR(TEXT(TIMEVALUE(LEFT(Table2[[#This Row],[Thursday]],5)),"h:mm AM/PM")&amp;" - "&amp;TEXT(TIMEVALUE(RIGHT(Table2[[#This Row],[Thursday]],5)),"h:mm AM/PM"),"OFF")</f>
        <v>9:00 am - 8:00 pm</v>
      </c>
      <c r="W46" t="str">
        <f>IFERROR(TEXT(TIMEVALUE(LEFT(Table2[[#This Row],[Friday]],5)),"h:mm AM/PM")&amp;" - "&amp;TEXT(TIMEVALUE(RIGHT(Table2[[#This Row],[Friday]],5)),"h:mm AM/PM"),"OFF")</f>
        <v>OFF</v>
      </c>
      <c r="X46" t="str">
        <f>IFERROR(TEXT(TIMEVALUE(LEFT(Table2[[#This Row],[Saturday]],5)),"h:mm AM/PM")&amp;" - "&amp;TEXT(TIMEVALUE(RIGHT(Table2[[#This Row],[Saturday]],5)),"h:mm AM/PM"),"OFF")</f>
        <v>OFF</v>
      </c>
      <c r="Y46" t="str">
        <f>IFERROR(TEXT(TIMEVALUE(LEFT(Table2[[#This Row],[Sunday]],5)),"h:mm AM/PM")&amp;" - "&amp;TEXT(TIMEVALUE(RIGHT(Table2[[#This Row],[Sunday]],5)),"h:mm AM/PM"),"OFF")</f>
        <v>OFF</v>
      </c>
      <c r="Z46" t="str">
        <f t="shared" si="2"/>
        <v>Fri - Sat - Sun</v>
      </c>
      <c r="AA46" s="37">
        <f>Table2[[#This Row],[Break 1]]</f>
        <v>0.45833333333333331</v>
      </c>
      <c r="AB46" s="37">
        <f>Table2[[#This Row],[Break 2]]</f>
        <v>0.67708333333333337</v>
      </c>
      <c r="AC46" s="37">
        <f>Table2[[#This Row],[Lunch]]</f>
        <v>0.55208333333333337</v>
      </c>
      <c r="AD46" s="37">
        <f>Table2[[#This Row],[Break 3]]</f>
        <v>0.77083333333333337</v>
      </c>
      <c r="AE46" t="str">
        <f>Table2[[#This Row],[Supervisor]]</f>
        <v>Anmecha Valencia</v>
      </c>
      <c r="AF46" t="str">
        <f>IFERROR(TEXT(TIMEVALUE(LEFT(Table2[[#This Row],[EST SHIFT]],5)),"h:mm AM/PM")&amp;" - "&amp;TEXT(TIMEVALUE(RIGHT(Table2[[#This Row],[EST SHIFT]],5)),"h:mm AM/PM"),"OFF")</f>
        <v>9:00 am - 8:00 pm</v>
      </c>
      <c r="AG46">
        <f t="shared" si="3"/>
        <v>0</v>
      </c>
    </row>
    <row r="47" spans="1:33" x14ac:dyDescent="0.25">
      <c r="A47" s="6" t="s">
        <v>104</v>
      </c>
      <c r="B47" s="1" t="s">
        <v>18</v>
      </c>
      <c r="C47" s="1" t="s">
        <v>18</v>
      </c>
      <c r="D47" s="1" t="s">
        <v>105</v>
      </c>
      <c r="E47" s="1" t="s">
        <v>105</v>
      </c>
      <c r="F47" s="1" t="s">
        <v>105</v>
      </c>
      <c r="G47" s="1" t="s">
        <v>105</v>
      </c>
      <c r="H47" s="1" t="s">
        <v>18</v>
      </c>
      <c r="I47" s="2" t="s">
        <v>106</v>
      </c>
      <c r="J47" s="3">
        <v>0.85416666666666663</v>
      </c>
      <c r="K47" s="3">
        <v>7.2916666666666671E-2</v>
      </c>
      <c r="L47" s="3">
        <v>0.94791666666666663</v>
      </c>
      <c r="M47" s="3">
        <v>0.17708333333333334</v>
      </c>
      <c r="N47" s="4" t="s">
        <v>42</v>
      </c>
      <c r="O47" s="1" t="s">
        <v>105</v>
      </c>
      <c r="P47">
        <f t="shared" si="0"/>
        <v>1</v>
      </c>
      <c r="R47" t="str">
        <f>Table2[[#This Row],[Name]]</f>
        <v>Manueleth Nardo</v>
      </c>
      <c r="S47" t="str">
        <f>IFERROR(TEXT(TIMEVALUE(LEFT(B47,5)),"h:mm AM/PM")&amp;" - "&amp;TEXT(TIMEVALUE(RIGHT(B47,5)),"h:mm AM/PM"),"OFF")</f>
        <v>OFF</v>
      </c>
      <c r="T47" t="str">
        <f>IFERROR(TEXT(TIMEVALUE(LEFT(Table2[[#This Row],[Tuesday]],5)),"h:mm AM/PM")&amp;" - "&amp;TEXT(TIMEVALUE(RIGHT(Table2[[#This Row],[Tuesday]],5)),"h:mm AM/PM"),"OFF")</f>
        <v>OFF</v>
      </c>
      <c r="U47" t="str">
        <f>IFERROR(TEXT(TIMEVALUE(LEFT(Table2[[#This Row],[Wednesday]],5)),"h:mm AM/PM")&amp;" - "&amp;TEXT(TIMEVALUE(RIGHT(Table2[[#This Row],[Wednesday]],5)),"h:mm AM/PM"),"OFF")</f>
        <v>6:30 pm - 5:30 am</v>
      </c>
      <c r="V47" t="str">
        <f>IFERROR(TEXT(TIMEVALUE(LEFT(Table2[[#This Row],[Thursday]],5)),"h:mm AM/PM")&amp;" - "&amp;TEXT(TIMEVALUE(RIGHT(Table2[[#This Row],[Thursday]],5)),"h:mm AM/PM"),"OFF")</f>
        <v>6:30 pm - 5:30 am</v>
      </c>
      <c r="W47" t="str">
        <f>IFERROR(TEXT(TIMEVALUE(LEFT(Table2[[#This Row],[Friday]],5)),"h:mm AM/PM")&amp;" - "&amp;TEXT(TIMEVALUE(RIGHT(Table2[[#This Row],[Friday]],5)),"h:mm AM/PM"),"OFF")</f>
        <v>6:30 pm - 5:30 am</v>
      </c>
      <c r="X47" t="str">
        <f>IFERROR(TEXT(TIMEVALUE(LEFT(Table2[[#This Row],[Saturday]],5)),"h:mm AM/PM")&amp;" - "&amp;TEXT(TIMEVALUE(RIGHT(Table2[[#This Row],[Saturday]],5)),"h:mm AM/PM"),"OFF")</f>
        <v>6:30 pm - 5:30 am</v>
      </c>
      <c r="Y47" t="str">
        <f>IFERROR(TEXT(TIMEVALUE(LEFT(Table2[[#This Row],[Sunday]],5)),"h:mm AM/PM")&amp;" - "&amp;TEXT(TIMEVALUE(RIGHT(Table2[[#This Row],[Sunday]],5)),"h:mm AM/PM"),"OFF")</f>
        <v>OFF</v>
      </c>
      <c r="Z47" t="str">
        <f t="shared" si="2"/>
        <v>Mon - Tue - Sun</v>
      </c>
      <c r="AA47" s="37">
        <f>Table2[[#This Row],[Break 1]]</f>
        <v>0.85416666666666663</v>
      </c>
      <c r="AB47" s="37">
        <f>Table2[[#This Row],[Break 2]]</f>
        <v>7.2916666666666671E-2</v>
      </c>
      <c r="AC47" s="37">
        <f>Table2[[#This Row],[Lunch]]</f>
        <v>0.94791666666666663</v>
      </c>
      <c r="AD47" s="37">
        <f>Table2[[#This Row],[Break 3]]</f>
        <v>0.17708333333333334</v>
      </c>
      <c r="AE47" t="str">
        <f>Table2[[#This Row],[Supervisor]]</f>
        <v>Christopher Rodas</v>
      </c>
      <c r="AF47" t="str">
        <f>IFERROR(TEXT(TIMEVALUE(LEFT(Table2[[#This Row],[EST SHIFT]],5)),"h:mm AM/PM")&amp;" - "&amp;TEXT(TIMEVALUE(RIGHT(Table2[[#This Row],[EST SHIFT]],5)),"h:mm AM/PM"),"OFF")</f>
        <v>6:30 pm - 5:30 am</v>
      </c>
      <c r="AG47">
        <f t="shared" si="3"/>
        <v>1</v>
      </c>
    </row>
    <row r="48" spans="1:33" x14ac:dyDescent="0.25">
      <c r="A48" s="6" t="s">
        <v>107</v>
      </c>
      <c r="B48" s="1" t="s">
        <v>36</v>
      </c>
      <c r="C48" s="1" t="s">
        <v>36</v>
      </c>
      <c r="D48" s="1" t="s">
        <v>18</v>
      </c>
      <c r="E48" s="1" t="s">
        <v>36</v>
      </c>
      <c r="F48" s="1" t="s">
        <v>36</v>
      </c>
      <c r="G48" s="1" t="s">
        <v>18</v>
      </c>
      <c r="H48" s="1" t="s">
        <v>18</v>
      </c>
      <c r="I48" s="2" t="s">
        <v>30</v>
      </c>
      <c r="J48" s="3">
        <v>0.47916666666666669</v>
      </c>
      <c r="K48" s="3">
        <v>0.67708333333333337</v>
      </c>
      <c r="L48" s="3">
        <v>0.57291666666666663</v>
      </c>
      <c r="M48" s="3">
        <v>0.78125</v>
      </c>
      <c r="N48" s="4" t="s">
        <v>20</v>
      </c>
      <c r="O48" s="1" t="s">
        <v>36</v>
      </c>
      <c r="P48">
        <f t="shared" si="0"/>
        <v>0</v>
      </c>
      <c r="R48" t="str">
        <f>Table2[[#This Row],[Name]]</f>
        <v>Marielle Dakila</v>
      </c>
      <c r="S48" t="str">
        <f>IFERROR(TEXT(TIMEVALUE(LEFT(B48,5)),"h:mm AM/PM")&amp;" - "&amp;TEXT(TIMEVALUE(RIGHT(B48,5)),"h:mm AM/PM"),"OFF")</f>
        <v>9:00 am - 8:00 pm</v>
      </c>
      <c r="T48" t="str">
        <f>IFERROR(TEXT(TIMEVALUE(LEFT(Table2[[#This Row],[Tuesday]],5)),"h:mm AM/PM")&amp;" - "&amp;TEXT(TIMEVALUE(RIGHT(Table2[[#This Row],[Tuesday]],5)),"h:mm AM/PM"),"OFF")</f>
        <v>9:00 am - 8:00 pm</v>
      </c>
      <c r="U48" t="str">
        <f>IFERROR(TEXT(TIMEVALUE(LEFT(Table2[[#This Row],[Wednesday]],5)),"h:mm AM/PM")&amp;" - "&amp;TEXT(TIMEVALUE(RIGHT(Table2[[#This Row],[Wednesday]],5)),"h:mm AM/PM"),"OFF")</f>
        <v>OFF</v>
      </c>
      <c r="V48" t="str">
        <f>IFERROR(TEXT(TIMEVALUE(LEFT(Table2[[#This Row],[Thursday]],5)),"h:mm AM/PM")&amp;" - "&amp;TEXT(TIMEVALUE(RIGHT(Table2[[#This Row],[Thursday]],5)),"h:mm AM/PM"),"OFF")</f>
        <v>9:00 am - 8:00 pm</v>
      </c>
      <c r="W48" t="str">
        <f>IFERROR(TEXT(TIMEVALUE(LEFT(Table2[[#This Row],[Friday]],5)),"h:mm AM/PM")&amp;" - "&amp;TEXT(TIMEVALUE(RIGHT(Table2[[#This Row],[Friday]],5)),"h:mm AM/PM"),"OFF")</f>
        <v>9:00 am - 8:00 pm</v>
      </c>
      <c r="X48" t="str">
        <f>IFERROR(TEXT(TIMEVALUE(LEFT(Table2[[#This Row],[Saturday]],5)),"h:mm AM/PM")&amp;" - "&amp;TEXT(TIMEVALUE(RIGHT(Table2[[#This Row],[Saturday]],5)),"h:mm AM/PM"),"OFF")</f>
        <v>OFF</v>
      </c>
      <c r="Y48" t="str">
        <f>IFERROR(TEXT(TIMEVALUE(LEFT(Table2[[#This Row],[Sunday]],5)),"h:mm AM/PM")&amp;" - "&amp;TEXT(TIMEVALUE(RIGHT(Table2[[#This Row],[Sunday]],5)),"h:mm AM/PM"),"OFF")</f>
        <v>OFF</v>
      </c>
      <c r="Z48" t="str">
        <f t="shared" si="2"/>
        <v>Wed - Sat - Sun</v>
      </c>
      <c r="AA48" s="37">
        <f>Table2[[#This Row],[Break 1]]</f>
        <v>0.47916666666666669</v>
      </c>
      <c r="AB48" s="37">
        <f>Table2[[#This Row],[Break 2]]</f>
        <v>0.67708333333333337</v>
      </c>
      <c r="AC48" s="37">
        <f>Table2[[#This Row],[Lunch]]</f>
        <v>0.57291666666666663</v>
      </c>
      <c r="AD48" s="37">
        <f>Table2[[#This Row],[Break 3]]</f>
        <v>0.78125</v>
      </c>
      <c r="AE48" t="str">
        <f>Table2[[#This Row],[Supervisor]]</f>
        <v>Remmo Panaligan</v>
      </c>
      <c r="AF48" t="str">
        <f>IFERROR(TEXT(TIMEVALUE(LEFT(Table2[[#This Row],[EST SHIFT]],5)),"h:mm AM/PM")&amp;" - "&amp;TEXT(TIMEVALUE(RIGHT(Table2[[#This Row],[EST SHIFT]],5)),"h:mm AM/PM"),"OFF")</f>
        <v>9:00 am - 8:00 pm</v>
      </c>
      <c r="AG48">
        <f t="shared" si="3"/>
        <v>0</v>
      </c>
    </row>
    <row r="49" spans="1:33" x14ac:dyDescent="0.25">
      <c r="A49" s="6" t="s">
        <v>108</v>
      </c>
      <c r="B49" s="1" t="s">
        <v>18</v>
      </c>
      <c r="C49" s="1" t="s">
        <v>36</v>
      </c>
      <c r="D49" s="1" t="s">
        <v>36</v>
      </c>
      <c r="E49" s="1" t="s">
        <v>36</v>
      </c>
      <c r="F49" s="1" t="s">
        <v>36</v>
      </c>
      <c r="G49" s="1" t="s">
        <v>18</v>
      </c>
      <c r="H49" s="1" t="s">
        <v>18</v>
      </c>
      <c r="I49" s="2" t="s">
        <v>49</v>
      </c>
      <c r="J49" s="3">
        <v>0.46875</v>
      </c>
      <c r="K49" s="3">
        <v>0.5625</v>
      </c>
      <c r="L49" s="3">
        <v>0.625</v>
      </c>
      <c r="M49" s="3">
        <v>0.78125</v>
      </c>
      <c r="N49" s="4" t="s">
        <v>34</v>
      </c>
      <c r="O49" s="1" t="s">
        <v>36</v>
      </c>
      <c r="P49">
        <f t="shared" si="0"/>
        <v>0</v>
      </c>
      <c r="R49" t="str">
        <f>Table2[[#This Row],[Name]]</f>
        <v>Marjon Gaebrielle Albay</v>
      </c>
      <c r="S49" t="str">
        <f>IFERROR(TEXT(TIMEVALUE(LEFT(B49,5)),"h:mm AM/PM")&amp;" - "&amp;TEXT(TIMEVALUE(RIGHT(B49,5)),"h:mm AM/PM"),"OFF")</f>
        <v>OFF</v>
      </c>
      <c r="T49" t="str">
        <f>IFERROR(TEXT(TIMEVALUE(LEFT(Table2[[#This Row],[Tuesday]],5)),"h:mm AM/PM")&amp;" - "&amp;TEXT(TIMEVALUE(RIGHT(Table2[[#This Row],[Tuesday]],5)),"h:mm AM/PM"),"OFF")</f>
        <v>9:00 am - 8:00 pm</v>
      </c>
      <c r="U49" t="str">
        <f>IFERROR(TEXT(TIMEVALUE(LEFT(Table2[[#This Row],[Wednesday]],5)),"h:mm AM/PM")&amp;" - "&amp;TEXT(TIMEVALUE(RIGHT(Table2[[#This Row],[Wednesday]],5)),"h:mm AM/PM"),"OFF")</f>
        <v>9:00 am - 8:00 pm</v>
      </c>
      <c r="V49" t="str">
        <f>IFERROR(TEXT(TIMEVALUE(LEFT(Table2[[#This Row],[Thursday]],5)),"h:mm AM/PM")&amp;" - "&amp;TEXT(TIMEVALUE(RIGHT(Table2[[#This Row],[Thursday]],5)),"h:mm AM/PM"),"OFF")</f>
        <v>9:00 am - 8:00 pm</v>
      </c>
      <c r="W49" t="str">
        <f>IFERROR(TEXT(TIMEVALUE(LEFT(Table2[[#This Row],[Friday]],5)),"h:mm AM/PM")&amp;" - "&amp;TEXT(TIMEVALUE(RIGHT(Table2[[#This Row],[Friday]],5)),"h:mm AM/PM"),"OFF")</f>
        <v>9:00 am - 8:00 pm</v>
      </c>
      <c r="X49" t="str">
        <f>IFERROR(TEXT(TIMEVALUE(LEFT(Table2[[#This Row],[Saturday]],5)),"h:mm AM/PM")&amp;" - "&amp;TEXT(TIMEVALUE(RIGHT(Table2[[#This Row],[Saturday]],5)),"h:mm AM/PM"),"OFF")</f>
        <v>OFF</v>
      </c>
      <c r="Y49" t="str">
        <f>IFERROR(TEXT(TIMEVALUE(LEFT(Table2[[#This Row],[Sunday]],5)),"h:mm AM/PM")&amp;" - "&amp;TEXT(TIMEVALUE(RIGHT(Table2[[#This Row],[Sunday]],5)),"h:mm AM/PM"),"OFF")</f>
        <v>OFF</v>
      </c>
      <c r="Z49" t="str">
        <f t="shared" si="2"/>
        <v>Mon - Sat - Sun</v>
      </c>
      <c r="AA49" s="37">
        <f>Table2[[#This Row],[Break 1]]</f>
        <v>0.46875</v>
      </c>
      <c r="AB49" s="37">
        <f>Table2[[#This Row],[Break 2]]</f>
        <v>0.5625</v>
      </c>
      <c r="AC49" s="37">
        <f>Table2[[#This Row],[Lunch]]</f>
        <v>0.625</v>
      </c>
      <c r="AD49" s="37">
        <f>Table2[[#This Row],[Break 3]]</f>
        <v>0.78125</v>
      </c>
      <c r="AE49" t="str">
        <f>Table2[[#This Row],[Supervisor]]</f>
        <v>Michael Dominguez</v>
      </c>
      <c r="AF49" t="str">
        <f>IFERROR(TEXT(TIMEVALUE(LEFT(Table2[[#This Row],[EST SHIFT]],5)),"h:mm AM/PM")&amp;" - "&amp;TEXT(TIMEVALUE(RIGHT(Table2[[#This Row],[EST SHIFT]],5)),"h:mm AM/PM"),"OFF")</f>
        <v>9:00 am - 8:00 pm</v>
      </c>
      <c r="AG49">
        <f t="shared" si="3"/>
        <v>0</v>
      </c>
    </row>
    <row r="50" spans="1:33" x14ac:dyDescent="0.25">
      <c r="A50" s="6" t="s">
        <v>109</v>
      </c>
      <c r="B50" s="1" t="s">
        <v>68</v>
      </c>
      <c r="C50" s="1" t="s">
        <v>68</v>
      </c>
      <c r="D50" s="1" t="s">
        <v>18</v>
      </c>
      <c r="E50" s="1" t="s">
        <v>18</v>
      </c>
      <c r="F50" s="1" t="s">
        <v>18</v>
      </c>
      <c r="G50" s="1" t="s">
        <v>68</v>
      </c>
      <c r="H50" s="1" t="s">
        <v>68</v>
      </c>
      <c r="I50" s="2" t="s">
        <v>19</v>
      </c>
      <c r="J50" s="3">
        <v>0.29166666666666669</v>
      </c>
      <c r="K50" s="3">
        <v>0.51041666666666663</v>
      </c>
      <c r="L50" s="3">
        <v>0.38541666666666669</v>
      </c>
      <c r="M50" s="3">
        <v>0.61458333333333337</v>
      </c>
      <c r="N50" s="4" t="s">
        <v>20</v>
      </c>
      <c r="O50" s="1" t="s">
        <v>68</v>
      </c>
      <c r="P50">
        <f t="shared" si="0"/>
        <v>0</v>
      </c>
      <c r="R50" t="str">
        <f>Table2[[#This Row],[Name]]</f>
        <v>Mark Raymond Mangaser Jr</v>
      </c>
      <c r="S50" t="str">
        <f>IFERROR(TEXT(TIMEVALUE(LEFT(B50,5)),"h:mm AM/PM")&amp;" - "&amp;TEXT(TIMEVALUE(RIGHT(B50,5)),"h:mm AM/PM"),"OFF")</f>
        <v>5:00 am - 4:00 pm</v>
      </c>
      <c r="T50" t="str">
        <f>IFERROR(TEXT(TIMEVALUE(LEFT(Table2[[#This Row],[Tuesday]],5)),"h:mm AM/PM")&amp;" - "&amp;TEXT(TIMEVALUE(RIGHT(Table2[[#This Row],[Tuesday]],5)),"h:mm AM/PM"),"OFF")</f>
        <v>5:00 am - 4:00 pm</v>
      </c>
      <c r="U50" t="str">
        <f>IFERROR(TEXT(TIMEVALUE(LEFT(Table2[[#This Row],[Wednesday]],5)),"h:mm AM/PM")&amp;" - "&amp;TEXT(TIMEVALUE(RIGHT(Table2[[#This Row],[Wednesday]],5)),"h:mm AM/PM"),"OFF")</f>
        <v>OFF</v>
      </c>
      <c r="V50" t="str">
        <f>IFERROR(TEXT(TIMEVALUE(LEFT(Table2[[#This Row],[Thursday]],5)),"h:mm AM/PM")&amp;" - "&amp;TEXT(TIMEVALUE(RIGHT(Table2[[#This Row],[Thursday]],5)),"h:mm AM/PM"),"OFF")</f>
        <v>OFF</v>
      </c>
      <c r="W50" t="str">
        <f>IFERROR(TEXT(TIMEVALUE(LEFT(Table2[[#This Row],[Friday]],5)),"h:mm AM/PM")&amp;" - "&amp;TEXT(TIMEVALUE(RIGHT(Table2[[#This Row],[Friday]],5)),"h:mm AM/PM"),"OFF")</f>
        <v>OFF</v>
      </c>
      <c r="X50" t="str">
        <f>IFERROR(TEXT(TIMEVALUE(LEFT(Table2[[#This Row],[Saturday]],5)),"h:mm AM/PM")&amp;" - "&amp;TEXT(TIMEVALUE(RIGHT(Table2[[#This Row],[Saturday]],5)),"h:mm AM/PM"),"OFF")</f>
        <v>5:00 am - 4:00 pm</v>
      </c>
      <c r="Y50" t="str">
        <f>IFERROR(TEXT(TIMEVALUE(LEFT(Table2[[#This Row],[Sunday]],5)),"h:mm AM/PM")&amp;" - "&amp;TEXT(TIMEVALUE(RIGHT(Table2[[#This Row],[Sunday]],5)),"h:mm AM/PM"),"OFF")</f>
        <v>5:00 am - 4:00 pm</v>
      </c>
      <c r="Z50" t="str">
        <f t="shared" si="2"/>
        <v>Wed - Thu - Fri</v>
      </c>
      <c r="AA50" s="37">
        <f>Table2[[#This Row],[Break 1]]</f>
        <v>0.29166666666666669</v>
      </c>
      <c r="AB50" s="37">
        <f>Table2[[#This Row],[Break 2]]</f>
        <v>0.51041666666666663</v>
      </c>
      <c r="AC50" s="37">
        <f>Table2[[#This Row],[Lunch]]</f>
        <v>0.38541666666666669</v>
      </c>
      <c r="AD50" s="37">
        <f>Table2[[#This Row],[Break 3]]</f>
        <v>0.61458333333333337</v>
      </c>
      <c r="AE50" t="str">
        <f>Table2[[#This Row],[Supervisor]]</f>
        <v>Remmo Panaligan</v>
      </c>
      <c r="AF50" t="str">
        <f>IFERROR(TEXT(TIMEVALUE(LEFT(Table2[[#This Row],[EST SHIFT]],5)),"h:mm AM/PM")&amp;" - "&amp;TEXT(TIMEVALUE(RIGHT(Table2[[#This Row],[EST SHIFT]],5)),"h:mm AM/PM"),"OFF")</f>
        <v>5:00 am - 4:00 pm</v>
      </c>
      <c r="AG50">
        <f t="shared" si="3"/>
        <v>0</v>
      </c>
    </row>
    <row r="51" spans="1:33" x14ac:dyDescent="0.25">
      <c r="A51" s="6" t="s">
        <v>110</v>
      </c>
      <c r="B51" s="1" t="s">
        <v>18</v>
      </c>
      <c r="C51" s="1" t="s">
        <v>18</v>
      </c>
      <c r="D51" s="1" t="s">
        <v>18</v>
      </c>
      <c r="E51" s="1" t="s">
        <v>32</v>
      </c>
      <c r="F51" s="1" t="s">
        <v>32</v>
      </c>
      <c r="G51" s="1" t="s">
        <v>32</v>
      </c>
      <c r="H51" s="1" t="s">
        <v>32</v>
      </c>
      <c r="I51" s="2" t="s">
        <v>33</v>
      </c>
      <c r="J51" s="3">
        <v>0.91666666666666663</v>
      </c>
      <c r="K51" s="3">
        <v>2.0833333333333332E-2</v>
      </c>
      <c r="L51" s="3">
        <v>0.10416666666666667</v>
      </c>
      <c r="M51" s="3">
        <v>0.25</v>
      </c>
      <c r="N51" s="4" t="s">
        <v>42</v>
      </c>
      <c r="O51" s="1" t="s">
        <v>32</v>
      </c>
      <c r="P51">
        <f t="shared" si="0"/>
        <v>1</v>
      </c>
      <c r="R51" t="str">
        <f>Table2[[#This Row],[Name]]</f>
        <v>Mary Angelie Fajardo</v>
      </c>
      <c r="S51" t="str">
        <f>IFERROR(TEXT(TIMEVALUE(LEFT(B51,5)),"h:mm AM/PM")&amp;" - "&amp;TEXT(TIMEVALUE(RIGHT(B51,5)),"h:mm AM/PM"),"OFF")</f>
        <v>OFF</v>
      </c>
      <c r="T51" t="str">
        <f>IFERROR(TEXT(TIMEVALUE(LEFT(Table2[[#This Row],[Tuesday]],5)),"h:mm AM/PM")&amp;" - "&amp;TEXT(TIMEVALUE(RIGHT(Table2[[#This Row],[Tuesday]],5)),"h:mm AM/PM"),"OFF")</f>
        <v>OFF</v>
      </c>
      <c r="U51" t="str">
        <f>IFERROR(TEXT(TIMEVALUE(LEFT(Table2[[#This Row],[Wednesday]],5)),"h:mm AM/PM")&amp;" - "&amp;TEXT(TIMEVALUE(RIGHT(Table2[[#This Row],[Wednesday]],5)),"h:mm AM/PM"),"OFF")</f>
        <v>OFF</v>
      </c>
      <c r="V51" t="str">
        <f>IFERROR(TEXT(TIMEVALUE(LEFT(Table2[[#This Row],[Thursday]],5)),"h:mm AM/PM")&amp;" - "&amp;TEXT(TIMEVALUE(RIGHT(Table2[[#This Row],[Thursday]],5)),"h:mm AM/PM"),"OFF")</f>
        <v>8:00 pm - 7:00 am</v>
      </c>
      <c r="W51" t="str">
        <f>IFERROR(TEXT(TIMEVALUE(LEFT(Table2[[#This Row],[Friday]],5)),"h:mm AM/PM")&amp;" - "&amp;TEXT(TIMEVALUE(RIGHT(Table2[[#This Row],[Friday]],5)),"h:mm AM/PM"),"OFF")</f>
        <v>8:00 pm - 7:00 am</v>
      </c>
      <c r="X51" t="str">
        <f>IFERROR(TEXT(TIMEVALUE(LEFT(Table2[[#This Row],[Saturday]],5)),"h:mm AM/PM")&amp;" - "&amp;TEXT(TIMEVALUE(RIGHT(Table2[[#This Row],[Saturday]],5)),"h:mm AM/PM"),"OFF")</f>
        <v>8:00 pm - 7:00 am</v>
      </c>
      <c r="Y51" t="str">
        <f>IFERROR(TEXT(TIMEVALUE(LEFT(Table2[[#This Row],[Sunday]],5)),"h:mm AM/PM")&amp;" - "&amp;TEXT(TIMEVALUE(RIGHT(Table2[[#This Row],[Sunday]],5)),"h:mm AM/PM"),"OFF")</f>
        <v>8:00 pm - 7:00 am</v>
      </c>
      <c r="Z51" t="str">
        <f t="shared" si="2"/>
        <v>Mon - Tue - Wed</v>
      </c>
      <c r="AA51" s="37">
        <f>Table2[[#This Row],[Break 1]]</f>
        <v>0.91666666666666663</v>
      </c>
      <c r="AB51" s="37">
        <f>Table2[[#This Row],[Break 2]]</f>
        <v>2.0833333333333332E-2</v>
      </c>
      <c r="AC51" s="37">
        <f>Table2[[#This Row],[Lunch]]</f>
        <v>0.10416666666666667</v>
      </c>
      <c r="AD51" s="37">
        <f>Table2[[#This Row],[Break 3]]</f>
        <v>0.25</v>
      </c>
      <c r="AE51" t="str">
        <f>Table2[[#This Row],[Supervisor]]</f>
        <v>Christopher Rodas</v>
      </c>
      <c r="AF51" t="str">
        <f>IFERROR(TEXT(TIMEVALUE(LEFT(Table2[[#This Row],[EST SHIFT]],5)),"h:mm AM/PM")&amp;" - "&amp;TEXT(TIMEVALUE(RIGHT(Table2[[#This Row],[EST SHIFT]],5)),"h:mm AM/PM"),"OFF")</f>
        <v>8:00 pm - 7:00 am</v>
      </c>
      <c r="AG51">
        <f t="shared" si="3"/>
        <v>1</v>
      </c>
    </row>
    <row r="52" spans="1:33" x14ac:dyDescent="0.25">
      <c r="A52" s="6" t="s">
        <v>111</v>
      </c>
      <c r="B52" s="1" t="s">
        <v>112</v>
      </c>
      <c r="C52" s="1" t="s">
        <v>112</v>
      </c>
      <c r="D52" s="1" t="s">
        <v>112</v>
      </c>
      <c r="E52" s="1" t="s">
        <v>112</v>
      </c>
      <c r="F52" s="1" t="s">
        <v>18</v>
      </c>
      <c r="G52" s="1" t="s">
        <v>18</v>
      </c>
      <c r="H52" s="1" t="s">
        <v>18</v>
      </c>
      <c r="I52" s="2" t="s">
        <v>30</v>
      </c>
      <c r="J52" s="3">
        <v>0</v>
      </c>
      <c r="K52" s="3">
        <v>0.19791666666666666</v>
      </c>
      <c r="L52" s="3">
        <v>9.375E-2</v>
      </c>
      <c r="M52" s="3">
        <v>0.30208333333333331</v>
      </c>
      <c r="N52" s="4" t="s">
        <v>27</v>
      </c>
      <c r="O52" s="1" t="s">
        <v>112</v>
      </c>
      <c r="P52">
        <f t="shared" si="0"/>
        <v>1</v>
      </c>
      <c r="R52" t="str">
        <f>Table2[[#This Row],[Name]]</f>
        <v>Mary Joy Delos Santos</v>
      </c>
      <c r="S52" t="str">
        <f>IFERROR(TEXT(TIMEVALUE(LEFT(B52,5)),"h:mm AM/PM")&amp;" - "&amp;TEXT(TIMEVALUE(RIGHT(B52,5)),"h:mm AM/PM"),"OFF")</f>
        <v>10:00 pm - 9:00 am</v>
      </c>
      <c r="T52" t="str">
        <f>IFERROR(TEXT(TIMEVALUE(LEFT(Table2[[#This Row],[Tuesday]],5)),"h:mm AM/PM")&amp;" - "&amp;TEXT(TIMEVALUE(RIGHT(Table2[[#This Row],[Tuesday]],5)),"h:mm AM/PM"),"OFF")</f>
        <v>10:00 pm - 9:00 am</v>
      </c>
      <c r="U52" t="str">
        <f>IFERROR(TEXT(TIMEVALUE(LEFT(Table2[[#This Row],[Wednesday]],5)),"h:mm AM/PM")&amp;" - "&amp;TEXT(TIMEVALUE(RIGHT(Table2[[#This Row],[Wednesday]],5)),"h:mm AM/PM"),"OFF")</f>
        <v>10:00 pm - 9:00 am</v>
      </c>
      <c r="V52" t="str">
        <f>IFERROR(TEXT(TIMEVALUE(LEFT(Table2[[#This Row],[Thursday]],5)),"h:mm AM/PM")&amp;" - "&amp;TEXT(TIMEVALUE(RIGHT(Table2[[#This Row],[Thursday]],5)),"h:mm AM/PM"),"OFF")</f>
        <v>10:00 pm - 9:00 am</v>
      </c>
      <c r="W52" t="str">
        <f>IFERROR(TEXT(TIMEVALUE(LEFT(Table2[[#This Row],[Friday]],5)),"h:mm AM/PM")&amp;" - "&amp;TEXT(TIMEVALUE(RIGHT(Table2[[#This Row],[Friday]],5)),"h:mm AM/PM"),"OFF")</f>
        <v>OFF</v>
      </c>
      <c r="X52" t="str">
        <f>IFERROR(TEXT(TIMEVALUE(LEFT(Table2[[#This Row],[Saturday]],5)),"h:mm AM/PM")&amp;" - "&amp;TEXT(TIMEVALUE(RIGHT(Table2[[#This Row],[Saturday]],5)),"h:mm AM/PM"),"OFF")</f>
        <v>OFF</v>
      </c>
      <c r="Y52" t="str">
        <f>IFERROR(TEXT(TIMEVALUE(LEFT(Table2[[#This Row],[Sunday]],5)),"h:mm AM/PM")&amp;" - "&amp;TEXT(TIMEVALUE(RIGHT(Table2[[#This Row],[Sunday]],5)),"h:mm AM/PM"),"OFF")</f>
        <v>OFF</v>
      </c>
      <c r="Z52" t="str">
        <f t="shared" si="2"/>
        <v>Fri - Sat - Sun</v>
      </c>
      <c r="AA52" s="37">
        <f>Table2[[#This Row],[Break 1]]</f>
        <v>0</v>
      </c>
      <c r="AB52" s="37">
        <f>Table2[[#This Row],[Break 2]]</f>
        <v>0.19791666666666666</v>
      </c>
      <c r="AC52" s="37">
        <f>Table2[[#This Row],[Lunch]]</f>
        <v>9.375E-2</v>
      </c>
      <c r="AD52" s="37">
        <f>Table2[[#This Row],[Break 3]]</f>
        <v>0.30208333333333331</v>
      </c>
      <c r="AE52" t="str">
        <f>Table2[[#This Row],[Supervisor]]</f>
        <v>Manilyn Abellar</v>
      </c>
      <c r="AF52" t="str">
        <f>IFERROR(TEXT(TIMEVALUE(LEFT(Table2[[#This Row],[EST SHIFT]],5)),"h:mm AM/PM")&amp;" - "&amp;TEXT(TIMEVALUE(RIGHT(Table2[[#This Row],[EST SHIFT]],5)),"h:mm AM/PM"),"OFF")</f>
        <v>10:00 pm - 9:00 am</v>
      </c>
      <c r="AG52">
        <f t="shared" si="3"/>
        <v>1</v>
      </c>
    </row>
    <row r="53" spans="1:33" x14ac:dyDescent="0.25">
      <c r="A53" s="6" t="s">
        <v>113</v>
      </c>
      <c r="B53" s="1" t="s">
        <v>18</v>
      </c>
      <c r="C53" s="1" t="s">
        <v>18</v>
      </c>
      <c r="D53" s="1" t="s">
        <v>18</v>
      </c>
      <c r="E53" s="1" t="s">
        <v>70</v>
      </c>
      <c r="F53" s="1" t="s">
        <v>70</v>
      </c>
      <c r="G53" s="1" t="s">
        <v>70</v>
      </c>
      <c r="H53" s="1" t="s">
        <v>70</v>
      </c>
      <c r="I53" s="2" t="s">
        <v>114</v>
      </c>
      <c r="J53" s="3">
        <v>0.5</v>
      </c>
      <c r="K53" s="3">
        <v>0.72916666666666663</v>
      </c>
      <c r="L53" s="3">
        <v>0.60416666666666663</v>
      </c>
      <c r="M53" s="3">
        <v>0.82291666666666663</v>
      </c>
      <c r="N53" s="4" t="s">
        <v>42</v>
      </c>
      <c r="O53" s="1" t="s">
        <v>70</v>
      </c>
      <c r="P53">
        <f t="shared" si="0"/>
        <v>0</v>
      </c>
      <c r="R53" t="str">
        <f>Table2[[#This Row],[Name]]</f>
        <v>Mhar Anthony Juezan</v>
      </c>
      <c r="S53" t="str">
        <f>IFERROR(TEXT(TIMEVALUE(LEFT(B53,5)),"h:mm AM/PM")&amp;" - "&amp;TEXT(TIMEVALUE(RIGHT(B53,5)),"h:mm AM/PM"),"OFF")</f>
        <v>OFF</v>
      </c>
      <c r="T53" t="str">
        <f>IFERROR(TEXT(TIMEVALUE(LEFT(Table2[[#This Row],[Tuesday]],5)),"h:mm AM/PM")&amp;" - "&amp;TEXT(TIMEVALUE(RIGHT(Table2[[#This Row],[Tuesday]],5)),"h:mm AM/PM"),"OFF")</f>
        <v>OFF</v>
      </c>
      <c r="U53" t="str">
        <f>IFERROR(TEXT(TIMEVALUE(LEFT(Table2[[#This Row],[Wednesday]],5)),"h:mm AM/PM")&amp;" - "&amp;TEXT(TIMEVALUE(RIGHT(Table2[[#This Row],[Wednesday]],5)),"h:mm AM/PM"),"OFF")</f>
        <v>OFF</v>
      </c>
      <c r="V53" t="str">
        <f>IFERROR(TEXT(TIMEVALUE(LEFT(Table2[[#This Row],[Thursday]],5)),"h:mm AM/PM")&amp;" - "&amp;TEXT(TIMEVALUE(RIGHT(Table2[[#This Row],[Thursday]],5)),"h:mm AM/PM"),"OFF")</f>
        <v>10:00 am - 9:00 pm</v>
      </c>
      <c r="W53" t="str">
        <f>IFERROR(TEXT(TIMEVALUE(LEFT(Table2[[#This Row],[Friday]],5)),"h:mm AM/PM")&amp;" - "&amp;TEXT(TIMEVALUE(RIGHT(Table2[[#This Row],[Friday]],5)),"h:mm AM/PM"),"OFF")</f>
        <v>10:00 am - 9:00 pm</v>
      </c>
      <c r="X53" t="str">
        <f>IFERROR(TEXT(TIMEVALUE(LEFT(Table2[[#This Row],[Saturday]],5)),"h:mm AM/PM")&amp;" - "&amp;TEXT(TIMEVALUE(RIGHT(Table2[[#This Row],[Saturday]],5)),"h:mm AM/PM"),"OFF")</f>
        <v>10:00 am - 9:00 pm</v>
      </c>
      <c r="Y53" t="str">
        <f>IFERROR(TEXT(TIMEVALUE(LEFT(Table2[[#This Row],[Sunday]],5)),"h:mm AM/PM")&amp;" - "&amp;TEXT(TIMEVALUE(RIGHT(Table2[[#This Row],[Sunday]],5)),"h:mm AM/PM"),"OFF")</f>
        <v>10:00 am - 9:00 pm</v>
      </c>
      <c r="Z53" t="str">
        <f t="shared" si="2"/>
        <v>Mon - Tue - Wed</v>
      </c>
      <c r="AA53" s="37">
        <f>Table2[[#This Row],[Break 1]]</f>
        <v>0.5</v>
      </c>
      <c r="AB53" s="37">
        <f>Table2[[#This Row],[Break 2]]</f>
        <v>0.72916666666666663</v>
      </c>
      <c r="AC53" s="37">
        <f>Table2[[#This Row],[Lunch]]</f>
        <v>0.60416666666666663</v>
      </c>
      <c r="AD53" s="37">
        <f>Table2[[#This Row],[Break 3]]</f>
        <v>0.82291666666666663</v>
      </c>
      <c r="AE53" t="str">
        <f>Table2[[#This Row],[Supervisor]]</f>
        <v>Christopher Rodas</v>
      </c>
      <c r="AF53" t="str">
        <f>IFERROR(TEXT(TIMEVALUE(LEFT(Table2[[#This Row],[EST SHIFT]],5)),"h:mm AM/PM")&amp;" - "&amp;TEXT(TIMEVALUE(RIGHT(Table2[[#This Row],[EST SHIFT]],5)),"h:mm AM/PM"),"OFF")</f>
        <v>10:00 am - 9:00 pm</v>
      </c>
      <c r="AG53">
        <f t="shared" si="3"/>
        <v>0</v>
      </c>
    </row>
    <row r="54" spans="1:33" x14ac:dyDescent="0.25">
      <c r="A54" s="6" t="s">
        <v>115</v>
      </c>
      <c r="B54" s="1" t="s">
        <v>36</v>
      </c>
      <c r="C54" s="1" t="s">
        <v>18</v>
      </c>
      <c r="D54" s="1" t="s">
        <v>18</v>
      </c>
      <c r="E54" s="1" t="s">
        <v>18</v>
      </c>
      <c r="F54" s="1" t="s">
        <v>36</v>
      </c>
      <c r="G54" s="1" t="s">
        <v>36</v>
      </c>
      <c r="H54" s="1" t="s">
        <v>36</v>
      </c>
      <c r="I54" s="2" t="s">
        <v>41</v>
      </c>
      <c r="J54" s="3">
        <v>0.46875</v>
      </c>
      <c r="K54" s="3">
        <v>0.5625</v>
      </c>
      <c r="L54" s="3">
        <v>0.625</v>
      </c>
      <c r="M54" s="3">
        <v>0.77083333333333337</v>
      </c>
      <c r="N54" s="4" t="s">
        <v>42</v>
      </c>
      <c r="O54" s="1" t="s">
        <v>36</v>
      </c>
      <c r="P54">
        <f t="shared" si="0"/>
        <v>0</v>
      </c>
      <c r="R54" t="str">
        <f>Table2[[#This Row],[Name]]</f>
        <v>Michelle Corbeta</v>
      </c>
      <c r="S54" t="str">
        <f>IFERROR(TEXT(TIMEVALUE(LEFT(B54,5)),"h:mm AM/PM")&amp;" - "&amp;TEXT(TIMEVALUE(RIGHT(B54,5)),"h:mm AM/PM"),"OFF")</f>
        <v>9:00 am - 8:00 pm</v>
      </c>
      <c r="T54" t="str">
        <f>IFERROR(TEXT(TIMEVALUE(LEFT(Table2[[#This Row],[Tuesday]],5)),"h:mm AM/PM")&amp;" - "&amp;TEXT(TIMEVALUE(RIGHT(Table2[[#This Row],[Tuesday]],5)),"h:mm AM/PM"),"OFF")</f>
        <v>OFF</v>
      </c>
      <c r="U54" t="str">
        <f>IFERROR(TEXT(TIMEVALUE(LEFT(Table2[[#This Row],[Wednesday]],5)),"h:mm AM/PM")&amp;" - "&amp;TEXT(TIMEVALUE(RIGHT(Table2[[#This Row],[Wednesday]],5)),"h:mm AM/PM"),"OFF")</f>
        <v>OFF</v>
      </c>
      <c r="V54" t="str">
        <f>IFERROR(TEXT(TIMEVALUE(LEFT(Table2[[#This Row],[Thursday]],5)),"h:mm AM/PM")&amp;" - "&amp;TEXT(TIMEVALUE(RIGHT(Table2[[#This Row],[Thursday]],5)),"h:mm AM/PM"),"OFF")</f>
        <v>OFF</v>
      </c>
      <c r="W54" t="str">
        <f>IFERROR(TEXT(TIMEVALUE(LEFT(Table2[[#This Row],[Friday]],5)),"h:mm AM/PM")&amp;" - "&amp;TEXT(TIMEVALUE(RIGHT(Table2[[#This Row],[Friday]],5)),"h:mm AM/PM"),"OFF")</f>
        <v>9:00 am - 8:00 pm</v>
      </c>
      <c r="X54" t="str">
        <f>IFERROR(TEXT(TIMEVALUE(LEFT(Table2[[#This Row],[Saturday]],5)),"h:mm AM/PM")&amp;" - "&amp;TEXT(TIMEVALUE(RIGHT(Table2[[#This Row],[Saturday]],5)),"h:mm AM/PM"),"OFF")</f>
        <v>9:00 am - 8:00 pm</v>
      </c>
      <c r="Y54" t="str">
        <f>IFERROR(TEXT(TIMEVALUE(LEFT(Table2[[#This Row],[Sunday]],5)),"h:mm AM/PM")&amp;" - "&amp;TEXT(TIMEVALUE(RIGHT(Table2[[#This Row],[Sunday]],5)),"h:mm AM/PM"),"OFF")</f>
        <v>9:00 am - 8:00 pm</v>
      </c>
      <c r="Z54" t="str">
        <f t="shared" si="2"/>
        <v>Tue - Wed - Thu</v>
      </c>
      <c r="AA54" s="37">
        <f>Table2[[#This Row],[Break 1]]</f>
        <v>0.46875</v>
      </c>
      <c r="AB54" s="37">
        <f>Table2[[#This Row],[Break 2]]</f>
        <v>0.5625</v>
      </c>
      <c r="AC54" s="37">
        <f>Table2[[#This Row],[Lunch]]</f>
        <v>0.625</v>
      </c>
      <c r="AD54" s="37">
        <f>Table2[[#This Row],[Break 3]]</f>
        <v>0.77083333333333337</v>
      </c>
      <c r="AE54" t="str">
        <f>Table2[[#This Row],[Supervisor]]</f>
        <v>Christopher Rodas</v>
      </c>
      <c r="AF54" t="str">
        <f>IFERROR(TEXT(TIMEVALUE(LEFT(Table2[[#This Row],[EST SHIFT]],5)),"h:mm AM/PM")&amp;" - "&amp;TEXT(TIMEVALUE(RIGHT(Table2[[#This Row],[EST SHIFT]],5)),"h:mm AM/PM"),"OFF")</f>
        <v>9:00 am - 8:00 pm</v>
      </c>
      <c r="AG54">
        <f t="shared" si="3"/>
        <v>0</v>
      </c>
    </row>
    <row r="55" spans="1:33" x14ac:dyDescent="0.25">
      <c r="A55" s="6" t="s">
        <v>116</v>
      </c>
      <c r="B55" s="1" t="s">
        <v>18</v>
      </c>
      <c r="C55" s="1" t="s">
        <v>127</v>
      </c>
      <c r="D55" s="1" t="s">
        <v>127</v>
      </c>
      <c r="E55" s="1" t="s">
        <v>127</v>
      </c>
      <c r="F55" s="1" t="s">
        <v>127</v>
      </c>
      <c r="G55" s="1" t="s">
        <v>18</v>
      </c>
      <c r="H55" s="1" t="s">
        <v>18</v>
      </c>
      <c r="I55" s="2" t="s">
        <v>49</v>
      </c>
      <c r="J55" s="3">
        <v>0.375</v>
      </c>
      <c r="K55" s="3">
        <v>0.58333333333333337</v>
      </c>
      <c r="L55" s="3">
        <v>0.45833333333333331</v>
      </c>
      <c r="M55" s="3">
        <v>0.66666666666666663</v>
      </c>
      <c r="N55" s="4" t="s">
        <v>42</v>
      </c>
      <c r="O55" s="1" t="s">
        <v>127</v>
      </c>
      <c r="P55">
        <f t="shared" si="0"/>
        <v>0</v>
      </c>
      <c r="R55" t="str">
        <f>Table2[[#This Row],[Name]]</f>
        <v>Pat Marlou Tanola</v>
      </c>
      <c r="S55" t="str">
        <f>IFERROR(TEXT(TIMEVALUE(LEFT(B55,5)),"h:mm AM/PM")&amp;" - "&amp;TEXT(TIMEVALUE(RIGHT(B55,5)),"h:mm AM/PM"),"OFF")</f>
        <v>OFF</v>
      </c>
      <c r="T55" t="str">
        <f>IFERROR(TEXT(TIMEVALUE(LEFT(Table2[[#This Row],[Tuesday]],5)),"h:mm AM/PM")&amp;" - "&amp;TEXT(TIMEVALUE(RIGHT(Table2[[#This Row],[Tuesday]],5)),"h:mm AM/PM"),"OFF")</f>
        <v>7:00 am - 6:00 pm</v>
      </c>
      <c r="U55" t="str">
        <f>IFERROR(TEXT(TIMEVALUE(LEFT(Table2[[#This Row],[Wednesday]],5)),"h:mm AM/PM")&amp;" - "&amp;TEXT(TIMEVALUE(RIGHT(Table2[[#This Row],[Wednesday]],5)),"h:mm AM/PM"),"OFF")</f>
        <v>7:00 am - 6:00 pm</v>
      </c>
      <c r="V55" t="str">
        <f>IFERROR(TEXT(TIMEVALUE(LEFT(Table2[[#This Row],[Thursday]],5)),"h:mm AM/PM")&amp;" - "&amp;TEXT(TIMEVALUE(RIGHT(Table2[[#This Row],[Thursday]],5)),"h:mm AM/PM"),"OFF")</f>
        <v>7:00 am - 6:00 pm</v>
      </c>
      <c r="W55" t="str">
        <f>IFERROR(TEXT(TIMEVALUE(LEFT(Table2[[#This Row],[Friday]],5)),"h:mm AM/PM")&amp;" - "&amp;TEXT(TIMEVALUE(RIGHT(Table2[[#This Row],[Friday]],5)),"h:mm AM/PM"),"OFF")</f>
        <v>7:00 am - 6:00 pm</v>
      </c>
      <c r="X55" t="str">
        <f>IFERROR(TEXT(TIMEVALUE(LEFT(Table2[[#This Row],[Saturday]],5)),"h:mm AM/PM")&amp;" - "&amp;TEXT(TIMEVALUE(RIGHT(Table2[[#This Row],[Saturday]],5)),"h:mm AM/PM"),"OFF")</f>
        <v>OFF</v>
      </c>
      <c r="Y55" t="str">
        <f>IFERROR(TEXT(TIMEVALUE(LEFT(Table2[[#This Row],[Sunday]],5)),"h:mm AM/PM")&amp;" - "&amp;TEXT(TIMEVALUE(RIGHT(Table2[[#This Row],[Sunday]],5)),"h:mm AM/PM"),"OFF")</f>
        <v>OFF</v>
      </c>
      <c r="Z55" t="str">
        <f t="shared" si="2"/>
        <v>Mon - Sat - Sun</v>
      </c>
      <c r="AA55" s="37">
        <f>Table2[[#This Row],[Break 1]]</f>
        <v>0.375</v>
      </c>
      <c r="AB55" s="37">
        <f>Table2[[#This Row],[Break 2]]</f>
        <v>0.58333333333333337</v>
      </c>
      <c r="AC55" s="37">
        <f>Table2[[#This Row],[Lunch]]</f>
        <v>0.45833333333333331</v>
      </c>
      <c r="AD55" s="37">
        <f>Table2[[#This Row],[Break 3]]</f>
        <v>0.66666666666666663</v>
      </c>
      <c r="AE55" t="str">
        <f>Table2[[#This Row],[Supervisor]]</f>
        <v>Christopher Rodas</v>
      </c>
      <c r="AF55" t="str">
        <f>IFERROR(TEXT(TIMEVALUE(LEFT(Table2[[#This Row],[EST SHIFT]],5)),"h:mm AM/PM")&amp;" - "&amp;TEXT(TIMEVALUE(RIGHT(Table2[[#This Row],[EST SHIFT]],5)),"h:mm AM/PM"),"OFF")</f>
        <v>7:00 am - 6:00 pm</v>
      </c>
      <c r="AG55">
        <f t="shared" si="3"/>
        <v>0</v>
      </c>
    </row>
    <row r="56" spans="1:33" x14ac:dyDescent="0.25">
      <c r="A56" s="47" t="s">
        <v>117</v>
      </c>
      <c r="B56" s="1" t="s">
        <v>36</v>
      </c>
      <c r="C56" s="1" t="s">
        <v>18</v>
      </c>
      <c r="D56" s="1" t="s">
        <v>18</v>
      </c>
      <c r="E56" s="1" t="s">
        <v>18</v>
      </c>
      <c r="F56" s="1" t="s">
        <v>36</v>
      </c>
      <c r="G56" s="1" t="s">
        <v>36</v>
      </c>
      <c r="H56" s="1" t="s">
        <v>36</v>
      </c>
      <c r="I56" s="2" t="s">
        <v>41</v>
      </c>
      <c r="J56" s="3">
        <v>0.44791666666666669</v>
      </c>
      <c r="K56" s="3">
        <v>0.65625</v>
      </c>
      <c r="L56" s="3">
        <v>0.52083333333333337</v>
      </c>
      <c r="M56" s="3">
        <v>0.76041666666666663</v>
      </c>
      <c r="N56" s="4" t="s">
        <v>38</v>
      </c>
      <c r="O56" s="1" t="s">
        <v>36</v>
      </c>
      <c r="P56">
        <f t="shared" si="0"/>
        <v>0</v>
      </c>
      <c r="R56" t="str">
        <f>Table2[[#This Row],[Name]]</f>
        <v>Patricia Gilan Villas</v>
      </c>
      <c r="S56" t="str">
        <f>IFERROR(TEXT(TIMEVALUE(LEFT(B56,5)),"h:mm AM/PM")&amp;" - "&amp;TEXT(TIMEVALUE(RIGHT(B56,5)),"h:mm AM/PM"),"OFF")</f>
        <v>9:00 am - 8:00 pm</v>
      </c>
      <c r="T56" t="str">
        <f>IFERROR(TEXT(TIMEVALUE(LEFT(Table2[[#This Row],[Tuesday]],5)),"h:mm AM/PM")&amp;" - "&amp;TEXT(TIMEVALUE(RIGHT(Table2[[#This Row],[Tuesday]],5)),"h:mm AM/PM"),"OFF")</f>
        <v>OFF</v>
      </c>
      <c r="U56" t="str">
        <f>IFERROR(TEXT(TIMEVALUE(LEFT(Table2[[#This Row],[Wednesday]],5)),"h:mm AM/PM")&amp;" - "&amp;TEXT(TIMEVALUE(RIGHT(Table2[[#This Row],[Wednesday]],5)),"h:mm AM/PM"),"OFF")</f>
        <v>OFF</v>
      </c>
      <c r="V56" t="str">
        <f>IFERROR(TEXT(TIMEVALUE(LEFT(Table2[[#This Row],[Thursday]],5)),"h:mm AM/PM")&amp;" - "&amp;TEXT(TIMEVALUE(RIGHT(Table2[[#This Row],[Thursday]],5)),"h:mm AM/PM"),"OFF")</f>
        <v>OFF</v>
      </c>
      <c r="W56" t="str">
        <f>IFERROR(TEXT(TIMEVALUE(LEFT(Table2[[#This Row],[Friday]],5)),"h:mm AM/PM")&amp;" - "&amp;TEXT(TIMEVALUE(RIGHT(Table2[[#This Row],[Friday]],5)),"h:mm AM/PM"),"OFF")</f>
        <v>9:00 am - 8:00 pm</v>
      </c>
      <c r="X56" t="str">
        <f>IFERROR(TEXT(TIMEVALUE(LEFT(Table2[[#This Row],[Saturday]],5)),"h:mm AM/PM")&amp;" - "&amp;TEXT(TIMEVALUE(RIGHT(Table2[[#This Row],[Saturday]],5)),"h:mm AM/PM"),"OFF")</f>
        <v>9:00 am - 8:00 pm</v>
      </c>
      <c r="Y56" t="str">
        <f>IFERROR(TEXT(TIMEVALUE(LEFT(Table2[[#This Row],[Sunday]],5)),"h:mm AM/PM")&amp;" - "&amp;TEXT(TIMEVALUE(RIGHT(Table2[[#This Row],[Sunday]],5)),"h:mm AM/PM"),"OFF")</f>
        <v>9:00 am - 8:00 pm</v>
      </c>
      <c r="Z56" t="str">
        <f t="shared" si="2"/>
        <v>Tue - Wed - Thu</v>
      </c>
      <c r="AA56" s="37">
        <f>Table2[[#This Row],[Break 1]]</f>
        <v>0.44791666666666669</v>
      </c>
      <c r="AB56" s="37">
        <f>Table2[[#This Row],[Break 2]]</f>
        <v>0.65625</v>
      </c>
      <c r="AC56" s="37">
        <f>Table2[[#This Row],[Lunch]]</f>
        <v>0.52083333333333337</v>
      </c>
      <c r="AD56" s="37">
        <f>Table2[[#This Row],[Break 3]]</f>
        <v>0.76041666666666663</v>
      </c>
      <c r="AE56" t="str">
        <f>Table2[[#This Row],[Supervisor]]</f>
        <v>Anmecha Valencia</v>
      </c>
      <c r="AF56" t="str">
        <f>IFERROR(TEXT(TIMEVALUE(LEFT(Table2[[#This Row],[EST SHIFT]],5)),"h:mm AM/PM")&amp;" - "&amp;TEXT(TIMEVALUE(RIGHT(Table2[[#This Row],[EST SHIFT]],5)),"h:mm AM/PM"),"OFF")</f>
        <v>9:00 am - 8:00 pm</v>
      </c>
      <c r="AG56">
        <f t="shared" si="3"/>
        <v>0</v>
      </c>
    </row>
    <row r="57" spans="1:33" x14ac:dyDescent="0.25">
      <c r="A57" s="48" t="s">
        <v>118</v>
      </c>
      <c r="B57" s="1" t="s">
        <v>100</v>
      </c>
      <c r="C57" s="1" t="s">
        <v>100</v>
      </c>
      <c r="D57" s="1" t="s">
        <v>100</v>
      </c>
      <c r="E57" s="1" t="s">
        <v>18</v>
      </c>
      <c r="F57" s="1" t="s">
        <v>18</v>
      </c>
      <c r="G57" s="1" t="s">
        <v>18</v>
      </c>
      <c r="H57" s="1" t="s">
        <v>100</v>
      </c>
      <c r="I57" s="2" t="s">
        <v>23</v>
      </c>
      <c r="J57" s="3">
        <v>0.8125</v>
      </c>
      <c r="K57" s="3">
        <v>1.0416666666666666E-2</v>
      </c>
      <c r="L57" s="3">
        <v>0.89583333333333337</v>
      </c>
      <c r="M57" s="3">
        <v>0.11458333333333333</v>
      </c>
      <c r="N57" s="4" t="s">
        <v>42</v>
      </c>
      <c r="O57" s="1" t="s">
        <v>100</v>
      </c>
      <c r="P57">
        <f t="shared" si="0"/>
        <v>1</v>
      </c>
      <c r="R57" t="str">
        <f>Table2[[#This Row],[Name]]</f>
        <v>Raquela Nicole Lareta</v>
      </c>
      <c r="S57" t="str">
        <f>IFERROR(TEXT(TIMEVALUE(LEFT(B57,5)),"h:mm AM/PM")&amp;" - "&amp;TEXT(TIMEVALUE(RIGHT(B57,5)),"h:mm AM/PM"),"OFF")</f>
        <v>5:00 pm - 4:00 am</v>
      </c>
      <c r="T57" t="str">
        <f>IFERROR(TEXT(TIMEVALUE(LEFT(Table2[[#This Row],[Tuesday]],5)),"h:mm AM/PM")&amp;" - "&amp;TEXT(TIMEVALUE(RIGHT(Table2[[#This Row],[Tuesday]],5)),"h:mm AM/PM"),"OFF")</f>
        <v>5:00 pm - 4:00 am</v>
      </c>
      <c r="U57" t="str">
        <f>IFERROR(TEXT(TIMEVALUE(LEFT(Table2[[#This Row],[Wednesday]],5)),"h:mm AM/PM")&amp;" - "&amp;TEXT(TIMEVALUE(RIGHT(Table2[[#This Row],[Wednesday]],5)),"h:mm AM/PM"),"OFF")</f>
        <v>5:00 pm - 4:00 am</v>
      </c>
      <c r="V57" t="str">
        <f>IFERROR(TEXT(TIMEVALUE(LEFT(Table2[[#This Row],[Thursday]],5)),"h:mm AM/PM")&amp;" - "&amp;TEXT(TIMEVALUE(RIGHT(Table2[[#This Row],[Thursday]],5)),"h:mm AM/PM"),"OFF")</f>
        <v>OFF</v>
      </c>
      <c r="W57" t="str">
        <f>IFERROR(TEXT(TIMEVALUE(LEFT(Table2[[#This Row],[Friday]],5)),"h:mm AM/PM")&amp;" - "&amp;TEXT(TIMEVALUE(RIGHT(Table2[[#This Row],[Friday]],5)),"h:mm AM/PM"),"OFF")</f>
        <v>OFF</v>
      </c>
      <c r="X57" t="str">
        <f>IFERROR(TEXT(TIMEVALUE(LEFT(Table2[[#This Row],[Saturday]],5)),"h:mm AM/PM")&amp;" - "&amp;TEXT(TIMEVALUE(RIGHT(Table2[[#This Row],[Saturday]],5)),"h:mm AM/PM"),"OFF")</f>
        <v>OFF</v>
      </c>
      <c r="Y57" t="str">
        <f>IFERROR(TEXT(TIMEVALUE(LEFT(Table2[[#This Row],[Sunday]],5)),"h:mm AM/PM")&amp;" - "&amp;TEXT(TIMEVALUE(RIGHT(Table2[[#This Row],[Sunday]],5)),"h:mm AM/PM"),"OFF")</f>
        <v>5:00 pm - 4:00 am</v>
      </c>
      <c r="Z57" t="str">
        <f t="shared" si="2"/>
        <v>Thu - Fri - Sat</v>
      </c>
      <c r="AA57" s="37">
        <f>Table2[[#This Row],[Break 1]]</f>
        <v>0.8125</v>
      </c>
      <c r="AB57" s="37">
        <f>Table2[[#This Row],[Break 2]]</f>
        <v>1.0416666666666666E-2</v>
      </c>
      <c r="AC57" s="37">
        <f>Table2[[#This Row],[Lunch]]</f>
        <v>0.89583333333333337</v>
      </c>
      <c r="AD57" s="37">
        <f>Table2[[#This Row],[Break 3]]</f>
        <v>0.11458333333333333</v>
      </c>
      <c r="AE57" t="str">
        <f>Table2[[#This Row],[Supervisor]]</f>
        <v>Christopher Rodas</v>
      </c>
      <c r="AF57" t="str">
        <f>IFERROR(TEXT(TIMEVALUE(LEFT(Table2[[#This Row],[EST SHIFT]],5)),"h:mm AM/PM")&amp;" - "&amp;TEXT(TIMEVALUE(RIGHT(Table2[[#This Row],[EST SHIFT]],5)),"h:mm AM/PM"),"OFF")</f>
        <v>5:00 pm - 4:00 am</v>
      </c>
      <c r="AG57">
        <f t="shared" si="3"/>
        <v>1</v>
      </c>
    </row>
    <row r="58" spans="1:33" x14ac:dyDescent="0.25">
      <c r="A58" s="49" t="s">
        <v>119</v>
      </c>
      <c r="B58" s="5" t="s">
        <v>120</v>
      </c>
      <c r="C58" s="5" t="s">
        <v>120</v>
      </c>
      <c r="D58" s="1" t="s">
        <v>18</v>
      </c>
      <c r="E58" s="1" t="s">
        <v>18</v>
      </c>
      <c r="F58" s="1" t="s">
        <v>18</v>
      </c>
      <c r="G58" s="5" t="s">
        <v>120</v>
      </c>
      <c r="H58" s="5" t="s">
        <v>120</v>
      </c>
      <c r="I58" s="2" t="s">
        <v>83</v>
      </c>
      <c r="J58" s="5">
        <v>8.3333333333333329E-2</v>
      </c>
      <c r="K58" s="5">
        <v>0.16666666666666666</v>
      </c>
      <c r="L58" s="5">
        <v>0.29166666666666669</v>
      </c>
      <c r="M58" s="5">
        <v>0.41666666666666669</v>
      </c>
      <c r="N58" s="4" t="s">
        <v>121</v>
      </c>
      <c r="O58" s="5" t="s">
        <v>120</v>
      </c>
      <c r="P58">
        <f t="shared" si="0"/>
        <v>0</v>
      </c>
      <c r="R58" t="str">
        <f>Table2[[#This Row],[Name]]</f>
        <v>Rayniel Ingal</v>
      </c>
      <c r="S58" t="str">
        <f>IFERROR(TEXT(TIMEVALUE(LEFT(B58,5)),"h:mm AM/PM")&amp;" - "&amp;TEXT(TIMEVALUE(RIGHT(B58,5)),"h:mm AM/PM"),"OFF")</f>
        <v>12:00 am - 11:00 am</v>
      </c>
      <c r="T58" t="str">
        <f>IFERROR(TEXT(TIMEVALUE(LEFT(Table2[[#This Row],[Tuesday]],5)),"h:mm AM/PM")&amp;" - "&amp;TEXT(TIMEVALUE(RIGHT(Table2[[#This Row],[Tuesday]],5)),"h:mm AM/PM"),"OFF")</f>
        <v>12:00 am - 11:00 am</v>
      </c>
      <c r="U58" t="str">
        <f>IFERROR(TEXT(TIMEVALUE(LEFT(Table2[[#This Row],[Wednesday]],5)),"h:mm AM/PM")&amp;" - "&amp;TEXT(TIMEVALUE(RIGHT(Table2[[#This Row],[Wednesday]],5)),"h:mm AM/PM"),"OFF")</f>
        <v>OFF</v>
      </c>
      <c r="V58" t="str">
        <f>IFERROR(TEXT(TIMEVALUE(LEFT(Table2[[#This Row],[Thursday]],5)),"h:mm AM/PM")&amp;" - "&amp;TEXT(TIMEVALUE(RIGHT(Table2[[#This Row],[Thursday]],5)),"h:mm AM/PM"),"OFF")</f>
        <v>OFF</v>
      </c>
      <c r="W58" t="str">
        <f>IFERROR(TEXT(TIMEVALUE(LEFT(Table2[[#This Row],[Friday]],5)),"h:mm AM/PM")&amp;" - "&amp;TEXT(TIMEVALUE(RIGHT(Table2[[#This Row],[Friday]],5)),"h:mm AM/PM"),"OFF")</f>
        <v>OFF</v>
      </c>
      <c r="X58" t="str">
        <f>IFERROR(TEXT(TIMEVALUE(LEFT(Table2[[#This Row],[Saturday]],5)),"h:mm AM/PM")&amp;" - "&amp;TEXT(TIMEVALUE(RIGHT(Table2[[#This Row],[Saturday]],5)),"h:mm AM/PM"),"OFF")</f>
        <v>12:00 am - 11:00 am</v>
      </c>
      <c r="Y58" t="str">
        <f>IFERROR(TEXT(TIMEVALUE(LEFT(Table2[[#This Row],[Sunday]],5)),"h:mm AM/PM")&amp;" - "&amp;TEXT(TIMEVALUE(RIGHT(Table2[[#This Row],[Sunday]],5)),"h:mm AM/PM"),"OFF")</f>
        <v>12:00 am - 11:00 am</v>
      </c>
      <c r="Z58" t="str">
        <f t="shared" si="2"/>
        <v>Wed - Thu - Fri</v>
      </c>
      <c r="AA58" s="37">
        <f>Table2[[#This Row],[Break 1]]</f>
        <v>8.3333333333333329E-2</v>
      </c>
      <c r="AB58" s="37">
        <f>Table2[[#This Row],[Break 2]]</f>
        <v>0.16666666666666666</v>
      </c>
      <c r="AC58" s="37">
        <f>Table2[[#This Row],[Lunch]]</f>
        <v>0.29166666666666669</v>
      </c>
      <c r="AD58" s="37">
        <f>Table2[[#This Row],[Break 3]]</f>
        <v>0.41666666666666669</v>
      </c>
      <c r="AE58" t="str">
        <f>Table2[[#This Row],[Supervisor]]</f>
        <v>Chris Borromeo</v>
      </c>
      <c r="AF58" t="str">
        <f>IFERROR(TEXT(TIMEVALUE(LEFT(Table2[[#This Row],[EST SHIFT]],5)),"h:mm AM/PM")&amp;" - "&amp;TEXT(TIMEVALUE(RIGHT(Table2[[#This Row],[EST SHIFT]],5)),"h:mm AM/PM"),"OFF")</f>
        <v>12:00 am - 11:00 am</v>
      </c>
      <c r="AG58">
        <f t="shared" si="3"/>
        <v>0</v>
      </c>
    </row>
    <row r="59" spans="1:33" ht="15" customHeight="1" x14ac:dyDescent="0.25">
      <c r="A59" s="6" t="s">
        <v>122</v>
      </c>
      <c r="B59" s="1" t="s">
        <v>18</v>
      </c>
      <c r="C59" s="1" t="s">
        <v>18</v>
      </c>
      <c r="D59" s="1" t="s">
        <v>123</v>
      </c>
      <c r="E59" s="1" t="s">
        <v>123</v>
      </c>
      <c r="F59" s="1" t="s">
        <v>18</v>
      </c>
      <c r="G59" s="1" t="s">
        <v>123</v>
      </c>
      <c r="H59" s="1" t="s">
        <v>123</v>
      </c>
      <c r="I59" s="2" t="s">
        <v>124</v>
      </c>
      <c r="J59" s="3">
        <v>5.2083333333333336E-2</v>
      </c>
      <c r="K59" s="3">
        <v>0.27083333333333331</v>
      </c>
      <c r="L59" s="3">
        <v>0.14583333333333334</v>
      </c>
      <c r="M59" s="3">
        <v>0.36458333333333331</v>
      </c>
      <c r="N59" s="4" t="s">
        <v>38</v>
      </c>
      <c r="O59" s="1" t="s">
        <v>123</v>
      </c>
      <c r="P59">
        <f t="shared" si="0"/>
        <v>1</v>
      </c>
      <c r="R59" t="str">
        <f>Table2[[#This Row],[Name]]</f>
        <v>Rey Fernandez</v>
      </c>
      <c r="S59" t="str">
        <f>IFERROR(TEXT(TIMEVALUE(LEFT(B59,5)),"h:mm AM/PM")&amp;" - "&amp;TEXT(TIMEVALUE(RIGHT(B59,5)),"h:mm AM/PM"),"OFF")</f>
        <v>OFF</v>
      </c>
      <c r="T59" t="str">
        <f>IFERROR(TEXT(TIMEVALUE(LEFT(Table2[[#This Row],[Tuesday]],5)),"h:mm AM/PM")&amp;" - "&amp;TEXT(TIMEVALUE(RIGHT(Table2[[#This Row],[Tuesday]],5)),"h:mm AM/PM"),"OFF")</f>
        <v>OFF</v>
      </c>
      <c r="U59" t="str">
        <f>IFERROR(TEXT(TIMEVALUE(LEFT(Table2[[#This Row],[Wednesday]],5)),"h:mm AM/PM")&amp;" - "&amp;TEXT(TIMEVALUE(RIGHT(Table2[[#This Row],[Wednesday]],5)),"h:mm AM/PM"),"OFF")</f>
        <v>11:00 pm - 10:00 am</v>
      </c>
      <c r="V59" t="str">
        <f>IFERROR(TEXT(TIMEVALUE(LEFT(Table2[[#This Row],[Thursday]],5)),"h:mm AM/PM")&amp;" - "&amp;TEXT(TIMEVALUE(RIGHT(Table2[[#This Row],[Thursday]],5)),"h:mm AM/PM"),"OFF")</f>
        <v>11:00 pm - 10:00 am</v>
      </c>
      <c r="W59" t="str">
        <f>IFERROR(TEXT(TIMEVALUE(LEFT(Table2[[#This Row],[Friday]],5)),"h:mm AM/PM")&amp;" - "&amp;TEXT(TIMEVALUE(RIGHT(Table2[[#This Row],[Friday]],5)),"h:mm AM/PM"),"OFF")</f>
        <v>OFF</v>
      </c>
      <c r="X59" t="str">
        <f>IFERROR(TEXT(TIMEVALUE(LEFT(Table2[[#This Row],[Saturday]],5)),"h:mm AM/PM")&amp;" - "&amp;TEXT(TIMEVALUE(RIGHT(Table2[[#This Row],[Saturday]],5)),"h:mm AM/PM"),"OFF")</f>
        <v>11:00 pm - 10:00 am</v>
      </c>
      <c r="Y59" t="str">
        <f>IFERROR(TEXT(TIMEVALUE(LEFT(Table2[[#This Row],[Sunday]],5)),"h:mm AM/PM")&amp;" - "&amp;TEXT(TIMEVALUE(RIGHT(Table2[[#This Row],[Sunday]],5)),"h:mm AM/PM"),"OFF")</f>
        <v>11:00 pm - 10:00 am</v>
      </c>
      <c r="Z59" t="str">
        <f t="shared" si="2"/>
        <v>Mon - Tue - Fri</v>
      </c>
      <c r="AA59" s="37">
        <f>Table2[[#This Row],[Break 1]]</f>
        <v>5.2083333333333336E-2</v>
      </c>
      <c r="AB59" s="37">
        <f>Table2[[#This Row],[Break 2]]</f>
        <v>0.27083333333333331</v>
      </c>
      <c r="AC59" s="37">
        <f>Table2[[#This Row],[Lunch]]</f>
        <v>0.14583333333333334</v>
      </c>
      <c r="AD59" s="37">
        <f>Table2[[#This Row],[Break 3]]</f>
        <v>0.36458333333333331</v>
      </c>
      <c r="AE59" t="str">
        <f>Table2[[#This Row],[Supervisor]]</f>
        <v>Anmecha Valencia</v>
      </c>
      <c r="AF59" t="str">
        <f>IFERROR(TEXT(TIMEVALUE(LEFT(Table2[[#This Row],[EST SHIFT]],5)),"h:mm AM/PM")&amp;" - "&amp;TEXT(TIMEVALUE(RIGHT(Table2[[#This Row],[EST SHIFT]],5)),"h:mm AM/PM"),"OFF")</f>
        <v>11:00 pm - 10:00 am</v>
      </c>
      <c r="AG59">
        <f t="shared" si="3"/>
        <v>1</v>
      </c>
    </row>
    <row r="60" spans="1:33" x14ac:dyDescent="0.25">
      <c r="A60" s="47" t="s">
        <v>125</v>
      </c>
      <c r="B60" s="1" t="s">
        <v>18</v>
      </c>
      <c r="C60" s="1" t="s">
        <v>18</v>
      </c>
      <c r="D60" s="1" t="s">
        <v>36</v>
      </c>
      <c r="E60" s="1" t="s">
        <v>36</v>
      </c>
      <c r="F60" s="1" t="s">
        <v>36</v>
      </c>
      <c r="G60" s="1" t="s">
        <v>36</v>
      </c>
      <c r="H60" s="1" t="s">
        <v>18</v>
      </c>
      <c r="I60" s="2" t="s">
        <v>37</v>
      </c>
      <c r="J60" s="3">
        <v>0.46875</v>
      </c>
      <c r="K60" s="3">
        <v>0.72916666666666663</v>
      </c>
      <c r="L60" s="3">
        <v>0.5625</v>
      </c>
      <c r="M60" s="3">
        <v>0.79166666666666663</v>
      </c>
      <c r="N60" s="4" t="s">
        <v>27</v>
      </c>
      <c r="O60" s="1" t="s">
        <v>36</v>
      </c>
      <c r="P60">
        <f t="shared" si="0"/>
        <v>0</v>
      </c>
      <c r="R60" t="str">
        <f>Table2[[#This Row],[Name]]</f>
        <v>Rona Rotchel Moniva</v>
      </c>
      <c r="S60" t="str">
        <f>IFERROR(TEXT(TIMEVALUE(LEFT(B60,5)),"h:mm AM/PM")&amp;" - "&amp;TEXT(TIMEVALUE(RIGHT(B60,5)),"h:mm AM/PM"),"OFF")</f>
        <v>OFF</v>
      </c>
      <c r="T60" t="str">
        <f>IFERROR(TEXT(TIMEVALUE(LEFT(Table2[[#This Row],[Tuesday]],5)),"h:mm AM/PM")&amp;" - "&amp;TEXT(TIMEVALUE(RIGHT(Table2[[#This Row],[Tuesday]],5)),"h:mm AM/PM"),"OFF")</f>
        <v>OFF</v>
      </c>
      <c r="U60" t="str">
        <f>IFERROR(TEXT(TIMEVALUE(LEFT(Table2[[#This Row],[Wednesday]],5)),"h:mm AM/PM")&amp;" - "&amp;TEXT(TIMEVALUE(RIGHT(Table2[[#This Row],[Wednesday]],5)),"h:mm AM/PM"),"OFF")</f>
        <v>9:00 am - 8:00 pm</v>
      </c>
      <c r="V60" t="str">
        <f>IFERROR(TEXT(TIMEVALUE(LEFT(Table2[[#This Row],[Thursday]],5)),"h:mm AM/PM")&amp;" - "&amp;TEXT(TIMEVALUE(RIGHT(Table2[[#This Row],[Thursday]],5)),"h:mm AM/PM"),"OFF")</f>
        <v>9:00 am - 8:00 pm</v>
      </c>
      <c r="W60" t="str">
        <f>IFERROR(TEXT(TIMEVALUE(LEFT(Table2[[#This Row],[Friday]],5)),"h:mm AM/PM")&amp;" - "&amp;TEXT(TIMEVALUE(RIGHT(Table2[[#This Row],[Friday]],5)),"h:mm AM/PM"),"OFF")</f>
        <v>9:00 am - 8:00 pm</v>
      </c>
      <c r="X60" t="str">
        <f>IFERROR(TEXT(TIMEVALUE(LEFT(Table2[[#This Row],[Saturday]],5)),"h:mm AM/PM")&amp;" - "&amp;TEXT(TIMEVALUE(RIGHT(Table2[[#This Row],[Saturday]],5)),"h:mm AM/PM"),"OFF")</f>
        <v>9:00 am - 8:00 pm</v>
      </c>
      <c r="Y60" t="str">
        <f>IFERROR(TEXT(TIMEVALUE(LEFT(Table2[[#This Row],[Sunday]],5)),"h:mm AM/PM")&amp;" - "&amp;TEXT(TIMEVALUE(RIGHT(Table2[[#This Row],[Sunday]],5)),"h:mm AM/PM"),"OFF")</f>
        <v>OFF</v>
      </c>
      <c r="Z60" t="str">
        <f t="shared" si="2"/>
        <v>Mon - Tue - Sun</v>
      </c>
      <c r="AA60" s="37">
        <f>Table2[[#This Row],[Break 1]]</f>
        <v>0.46875</v>
      </c>
      <c r="AB60" s="37">
        <f>Table2[[#This Row],[Break 2]]</f>
        <v>0.72916666666666663</v>
      </c>
      <c r="AC60" s="37">
        <f>Table2[[#This Row],[Lunch]]</f>
        <v>0.5625</v>
      </c>
      <c r="AD60" s="37">
        <f>Table2[[#This Row],[Break 3]]</f>
        <v>0.79166666666666663</v>
      </c>
      <c r="AE60" t="str">
        <f>Table2[[#This Row],[Supervisor]]</f>
        <v>Manilyn Abellar</v>
      </c>
      <c r="AF60" t="str">
        <f>IFERROR(TEXT(TIMEVALUE(LEFT(Table2[[#This Row],[EST SHIFT]],5)),"h:mm AM/PM")&amp;" - "&amp;TEXT(TIMEVALUE(RIGHT(Table2[[#This Row],[EST SHIFT]],5)),"h:mm AM/PM"),"OFF")</f>
        <v>9:00 am - 8:00 pm</v>
      </c>
      <c r="AG60">
        <f t="shared" si="3"/>
        <v>0</v>
      </c>
    </row>
    <row r="61" spans="1:33" x14ac:dyDescent="0.25">
      <c r="A61" s="48" t="s">
        <v>126</v>
      </c>
      <c r="B61" s="1" t="s">
        <v>127</v>
      </c>
      <c r="C61" s="1" t="s">
        <v>127</v>
      </c>
      <c r="D61" s="1" t="s">
        <v>18</v>
      </c>
      <c r="E61" s="1" t="s">
        <v>18</v>
      </c>
      <c r="F61" s="1" t="s">
        <v>18</v>
      </c>
      <c r="G61" s="1" t="s">
        <v>127</v>
      </c>
      <c r="H61" s="1" t="s">
        <v>127</v>
      </c>
      <c r="I61" s="2" t="s">
        <v>19</v>
      </c>
      <c r="J61" s="3">
        <v>0.36458333333333331</v>
      </c>
      <c r="K61" s="3">
        <v>0.57291666666666663</v>
      </c>
      <c r="L61" s="3">
        <v>0.44791666666666669</v>
      </c>
      <c r="M61" s="3">
        <v>0.67708333333333337</v>
      </c>
      <c r="N61" s="4" t="s">
        <v>34</v>
      </c>
      <c r="O61" s="1" t="s">
        <v>127</v>
      </c>
      <c r="P61">
        <f t="shared" si="0"/>
        <v>0</v>
      </c>
      <c r="R61" t="str">
        <f>Table2[[#This Row],[Name]]</f>
        <v>Roy Sagales</v>
      </c>
      <c r="S61" t="str">
        <f>IFERROR(TEXT(TIMEVALUE(LEFT(B61,5)),"h:mm AM/PM")&amp;" - "&amp;TEXT(TIMEVALUE(RIGHT(B61,5)),"h:mm AM/PM"),"OFF")</f>
        <v>7:00 am - 6:00 pm</v>
      </c>
      <c r="T61" t="str">
        <f>IFERROR(TEXT(TIMEVALUE(LEFT(Table2[[#This Row],[Tuesday]],5)),"h:mm AM/PM")&amp;" - "&amp;TEXT(TIMEVALUE(RIGHT(Table2[[#This Row],[Tuesday]],5)),"h:mm AM/PM"),"OFF")</f>
        <v>7:00 am - 6:00 pm</v>
      </c>
      <c r="U61" t="str">
        <f>IFERROR(TEXT(TIMEVALUE(LEFT(Table2[[#This Row],[Wednesday]],5)),"h:mm AM/PM")&amp;" - "&amp;TEXT(TIMEVALUE(RIGHT(Table2[[#This Row],[Wednesday]],5)),"h:mm AM/PM"),"OFF")</f>
        <v>OFF</v>
      </c>
      <c r="V61" t="str">
        <f>IFERROR(TEXT(TIMEVALUE(LEFT(Table2[[#This Row],[Thursday]],5)),"h:mm AM/PM")&amp;" - "&amp;TEXT(TIMEVALUE(RIGHT(Table2[[#This Row],[Thursday]],5)),"h:mm AM/PM"),"OFF")</f>
        <v>OFF</v>
      </c>
      <c r="W61" t="str">
        <f>IFERROR(TEXT(TIMEVALUE(LEFT(Table2[[#This Row],[Friday]],5)),"h:mm AM/PM")&amp;" - "&amp;TEXT(TIMEVALUE(RIGHT(Table2[[#This Row],[Friday]],5)),"h:mm AM/PM"),"OFF")</f>
        <v>OFF</v>
      </c>
      <c r="X61" t="str">
        <f>IFERROR(TEXT(TIMEVALUE(LEFT(Table2[[#This Row],[Saturday]],5)),"h:mm AM/PM")&amp;" - "&amp;TEXT(TIMEVALUE(RIGHT(Table2[[#This Row],[Saturday]],5)),"h:mm AM/PM"),"OFF")</f>
        <v>7:00 am - 6:00 pm</v>
      </c>
      <c r="Y61" t="str">
        <f>IFERROR(TEXT(TIMEVALUE(LEFT(Table2[[#This Row],[Sunday]],5)),"h:mm AM/PM")&amp;" - "&amp;TEXT(TIMEVALUE(RIGHT(Table2[[#This Row],[Sunday]],5)),"h:mm AM/PM"),"OFF")</f>
        <v>7:00 am - 6:00 pm</v>
      </c>
      <c r="Z61" t="str">
        <f t="shared" si="2"/>
        <v>Wed - Thu - Fri</v>
      </c>
      <c r="AA61" s="37">
        <f>Table2[[#This Row],[Break 1]]</f>
        <v>0.36458333333333331</v>
      </c>
      <c r="AB61" s="37">
        <f>Table2[[#This Row],[Break 2]]</f>
        <v>0.57291666666666663</v>
      </c>
      <c r="AC61" s="37">
        <f>Table2[[#This Row],[Lunch]]</f>
        <v>0.44791666666666669</v>
      </c>
      <c r="AD61" s="37">
        <f>Table2[[#This Row],[Break 3]]</f>
        <v>0.67708333333333337</v>
      </c>
      <c r="AE61" t="str">
        <f>Table2[[#This Row],[Supervisor]]</f>
        <v>Michael Dominguez</v>
      </c>
      <c r="AF61" t="str">
        <f>IFERROR(TEXT(TIMEVALUE(LEFT(Table2[[#This Row],[EST SHIFT]],5)),"h:mm AM/PM")&amp;" - "&amp;TEXT(TIMEVALUE(RIGHT(Table2[[#This Row],[EST SHIFT]],5)),"h:mm AM/PM"),"OFF")</f>
        <v>7:00 am - 6:00 pm</v>
      </c>
      <c r="AG61">
        <f t="shared" si="3"/>
        <v>0</v>
      </c>
    </row>
    <row r="62" spans="1:33" x14ac:dyDescent="0.25">
      <c r="A62" s="55" t="s">
        <v>128</v>
      </c>
      <c r="B62" s="1" t="s">
        <v>129</v>
      </c>
      <c r="C62" s="1" t="s">
        <v>129</v>
      </c>
      <c r="D62" s="1" t="s">
        <v>18</v>
      </c>
      <c r="E62" s="1" t="s">
        <v>18</v>
      </c>
      <c r="F62" s="1" t="s">
        <v>18</v>
      </c>
      <c r="G62" s="1" t="s">
        <v>129</v>
      </c>
      <c r="H62" s="1" t="s">
        <v>129</v>
      </c>
      <c r="I62" s="36" t="s">
        <v>19</v>
      </c>
      <c r="J62" s="3">
        <v>0.53125</v>
      </c>
      <c r="K62" s="3">
        <v>0.76041666666666663</v>
      </c>
      <c r="L62" s="3">
        <v>0.64583333333333337</v>
      </c>
      <c r="M62" s="3">
        <v>0.875</v>
      </c>
      <c r="N62" s="4" t="s">
        <v>34</v>
      </c>
      <c r="O62" s="1" t="s">
        <v>129</v>
      </c>
      <c r="P62">
        <f t="shared" si="0"/>
        <v>0</v>
      </c>
      <c r="R62" t="str">
        <f>Table2[[#This Row],[Name]]</f>
        <v>Sam Supnet</v>
      </c>
      <c r="S62" t="str">
        <f>IFERROR(TEXT(TIMEVALUE(LEFT(B62,5)),"h:mm AM/PM")&amp;" - "&amp;TEXT(TIMEVALUE(RIGHT(B62,5)),"h:mm AM/PM"),"OFF")</f>
        <v>10:30 am - 9:30 pm</v>
      </c>
      <c r="T62" t="str">
        <f>IFERROR(TEXT(TIMEVALUE(LEFT(Table2[[#This Row],[Tuesday]],5)),"h:mm AM/PM")&amp;" - "&amp;TEXT(TIMEVALUE(RIGHT(Table2[[#This Row],[Tuesday]],5)),"h:mm AM/PM"),"OFF")</f>
        <v>10:30 am - 9:30 pm</v>
      </c>
      <c r="U62" t="str">
        <f>IFERROR(TEXT(TIMEVALUE(LEFT(Table2[[#This Row],[Wednesday]],5)),"h:mm AM/PM")&amp;" - "&amp;TEXT(TIMEVALUE(RIGHT(Table2[[#This Row],[Wednesday]],5)),"h:mm AM/PM"),"OFF")</f>
        <v>OFF</v>
      </c>
      <c r="V62" t="str">
        <f>IFERROR(TEXT(TIMEVALUE(LEFT(Table2[[#This Row],[Thursday]],5)),"h:mm AM/PM")&amp;" - "&amp;TEXT(TIMEVALUE(RIGHT(Table2[[#This Row],[Thursday]],5)),"h:mm AM/PM"),"OFF")</f>
        <v>OFF</v>
      </c>
      <c r="W62" t="str">
        <f>IFERROR(TEXT(TIMEVALUE(LEFT(Table2[[#This Row],[Friday]],5)),"h:mm AM/PM")&amp;" - "&amp;TEXT(TIMEVALUE(RIGHT(Table2[[#This Row],[Friday]],5)),"h:mm AM/PM"),"OFF")</f>
        <v>OFF</v>
      </c>
      <c r="X62" t="str">
        <f>IFERROR(TEXT(TIMEVALUE(LEFT(Table2[[#This Row],[Saturday]],5)),"h:mm AM/PM")&amp;" - "&amp;TEXT(TIMEVALUE(RIGHT(Table2[[#This Row],[Saturday]],5)),"h:mm AM/PM"),"OFF")</f>
        <v>10:30 am - 9:30 pm</v>
      </c>
      <c r="Y62" t="str">
        <f>IFERROR(TEXT(TIMEVALUE(LEFT(Table2[[#This Row],[Sunday]],5)),"h:mm AM/PM")&amp;" - "&amp;TEXT(TIMEVALUE(RIGHT(Table2[[#This Row],[Sunday]],5)),"h:mm AM/PM"),"OFF")</f>
        <v>10:30 am - 9:30 pm</v>
      </c>
      <c r="Z62" t="str">
        <f t="shared" si="2"/>
        <v>Wed - Thu - Fri</v>
      </c>
      <c r="AA62" s="37">
        <f>Table2[[#This Row],[Break 1]]</f>
        <v>0.53125</v>
      </c>
      <c r="AB62" s="37">
        <f>Table2[[#This Row],[Break 2]]</f>
        <v>0.76041666666666663</v>
      </c>
      <c r="AC62" s="37">
        <f>Table2[[#This Row],[Lunch]]</f>
        <v>0.64583333333333337</v>
      </c>
      <c r="AD62" s="37">
        <f>Table2[[#This Row],[Break 3]]</f>
        <v>0.875</v>
      </c>
      <c r="AE62" t="str">
        <f>Table2[[#This Row],[Supervisor]]</f>
        <v>Michael Dominguez</v>
      </c>
      <c r="AF62" t="str">
        <f>IFERROR(TEXT(TIMEVALUE(LEFT(Table2[[#This Row],[EST SHIFT]],5)),"h:mm AM/PM")&amp;" - "&amp;TEXT(TIMEVALUE(RIGHT(Table2[[#This Row],[EST SHIFT]],5)),"h:mm AM/PM"),"OFF")</f>
        <v>10:30 am - 9:30 pm</v>
      </c>
      <c r="AG62">
        <f t="shared" si="3"/>
        <v>0</v>
      </c>
    </row>
    <row r="63" spans="1:33" x14ac:dyDescent="0.25">
      <c r="A63" s="48" t="s">
        <v>130</v>
      </c>
      <c r="B63" s="1" t="s">
        <v>36</v>
      </c>
      <c r="C63" s="1" t="s">
        <v>36</v>
      </c>
      <c r="D63" s="1" t="s">
        <v>36</v>
      </c>
      <c r="E63" s="1" t="s">
        <v>18</v>
      </c>
      <c r="F63" s="1" t="s">
        <v>36</v>
      </c>
      <c r="G63" s="1" t="s">
        <v>18</v>
      </c>
      <c r="H63" s="1" t="s">
        <v>18</v>
      </c>
      <c r="I63" s="2" t="s">
        <v>26</v>
      </c>
      <c r="J63" s="3">
        <v>0.48958333333333331</v>
      </c>
      <c r="K63" s="3">
        <v>0.72916666666666663</v>
      </c>
      <c r="L63" s="3">
        <v>0.60416666666666663</v>
      </c>
      <c r="M63" s="3">
        <v>0.8125</v>
      </c>
      <c r="N63" s="4" t="s">
        <v>38</v>
      </c>
      <c r="O63" s="1" t="s">
        <v>36</v>
      </c>
      <c r="P63">
        <f t="shared" si="0"/>
        <v>0</v>
      </c>
      <c r="R63" t="str">
        <f>Table2[[#This Row],[Name]]</f>
        <v>Samantha Yvonne Dela Costa</v>
      </c>
      <c r="S63" t="str">
        <f>IFERROR(TEXT(TIMEVALUE(LEFT(B63,5)),"h:mm AM/PM")&amp;" - "&amp;TEXT(TIMEVALUE(RIGHT(B63,5)),"h:mm AM/PM"),"OFF")</f>
        <v>9:00 am - 8:00 pm</v>
      </c>
      <c r="T63" t="str">
        <f>IFERROR(TEXT(TIMEVALUE(LEFT(Table2[[#This Row],[Tuesday]],5)),"h:mm AM/PM")&amp;" - "&amp;TEXT(TIMEVALUE(RIGHT(Table2[[#This Row],[Tuesday]],5)),"h:mm AM/PM"),"OFF")</f>
        <v>9:00 am - 8:00 pm</v>
      </c>
      <c r="U63" t="str">
        <f>IFERROR(TEXT(TIMEVALUE(LEFT(Table2[[#This Row],[Wednesday]],5)),"h:mm AM/PM")&amp;" - "&amp;TEXT(TIMEVALUE(RIGHT(Table2[[#This Row],[Wednesday]],5)),"h:mm AM/PM"),"OFF")</f>
        <v>9:00 am - 8:00 pm</v>
      </c>
      <c r="V63" t="str">
        <f>IFERROR(TEXT(TIMEVALUE(LEFT(Table2[[#This Row],[Thursday]],5)),"h:mm AM/PM")&amp;" - "&amp;TEXT(TIMEVALUE(RIGHT(Table2[[#This Row],[Thursday]],5)),"h:mm AM/PM"),"OFF")</f>
        <v>OFF</v>
      </c>
      <c r="W63" t="str">
        <f>IFERROR(TEXT(TIMEVALUE(LEFT(Table2[[#This Row],[Friday]],5)),"h:mm AM/PM")&amp;" - "&amp;TEXT(TIMEVALUE(RIGHT(Table2[[#This Row],[Friday]],5)),"h:mm AM/PM"),"OFF")</f>
        <v>9:00 am - 8:00 pm</v>
      </c>
      <c r="X63" t="str">
        <f>IFERROR(TEXT(TIMEVALUE(LEFT(Table2[[#This Row],[Saturday]],5)),"h:mm AM/PM")&amp;" - "&amp;TEXT(TIMEVALUE(RIGHT(Table2[[#This Row],[Saturday]],5)),"h:mm AM/PM"),"OFF")</f>
        <v>OFF</v>
      </c>
      <c r="Y63" t="str">
        <f>IFERROR(TEXT(TIMEVALUE(LEFT(Table2[[#This Row],[Sunday]],5)),"h:mm AM/PM")&amp;" - "&amp;TEXT(TIMEVALUE(RIGHT(Table2[[#This Row],[Sunday]],5)),"h:mm AM/PM"),"OFF")</f>
        <v>OFF</v>
      </c>
      <c r="Z63" t="str">
        <f t="shared" si="2"/>
        <v>Thu - Sat - Sun</v>
      </c>
      <c r="AA63" s="37">
        <f>Table2[[#This Row],[Break 1]]</f>
        <v>0.48958333333333331</v>
      </c>
      <c r="AB63" s="37">
        <f>Table2[[#This Row],[Break 2]]</f>
        <v>0.72916666666666663</v>
      </c>
      <c r="AC63" s="37">
        <f>Table2[[#This Row],[Lunch]]</f>
        <v>0.60416666666666663</v>
      </c>
      <c r="AD63" s="37">
        <f>Table2[[#This Row],[Break 3]]</f>
        <v>0.8125</v>
      </c>
      <c r="AE63" t="str">
        <f>Table2[[#This Row],[Supervisor]]</f>
        <v>Anmecha Valencia</v>
      </c>
      <c r="AF63" t="str">
        <f>IFERROR(TEXT(TIMEVALUE(LEFT(Table2[[#This Row],[EST SHIFT]],5)),"h:mm AM/PM")&amp;" - "&amp;TEXT(TIMEVALUE(RIGHT(Table2[[#This Row],[EST SHIFT]],5)),"h:mm AM/PM"),"OFF")</f>
        <v>9:00 am - 8:00 pm</v>
      </c>
      <c r="AG63">
        <f t="shared" si="3"/>
        <v>0</v>
      </c>
    </row>
    <row r="64" spans="1:33" x14ac:dyDescent="0.25">
      <c r="A64" s="48" t="s">
        <v>131</v>
      </c>
      <c r="B64" s="1" t="s">
        <v>18</v>
      </c>
      <c r="C64" s="1" t="s">
        <v>127</v>
      </c>
      <c r="D64" s="1" t="s">
        <v>127</v>
      </c>
      <c r="E64" s="1" t="s">
        <v>127</v>
      </c>
      <c r="F64" s="1" t="s">
        <v>127</v>
      </c>
      <c r="G64" s="1" t="s">
        <v>18</v>
      </c>
      <c r="H64" s="1" t="s">
        <v>18</v>
      </c>
      <c r="I64" s="2" t="s">
        <v>49</v>
      </c>
      <c r="J64" s="3">
        <v>0.375</v>
      </c>
      <c r="K64" s="3">
        <v>0.59375</v>
      </c>
      <c r="L64" s="3">
        <v>0.45833333333333331</v>
      </c>
      <c r="M64" s="3">
        <v>0.67708333333333337</v>
      </c>
      <c r="N64" s="4" t="s">
        <v>42</v>
      </c>
      <c r="O64" s="1" t="s">
        <v>127</v>
      </c>
      <c r="P64">
        <f t="shared" si="0"/>
        <v>0</v>
      </c>
      <c r="R64" t="str">
        <f>Table2[[#This Row],[Name]]</f>
        <v>Sean Gabriel Ramirez</v>
      </c>
      <c r="S64" t="str">
        <f>IFERROR(TEXT(TIMEVALUE(LEFT(B64,5)),"h:mm AM/PM")&amp;" - "&amp;TEXT(TIMEVALUE(RIGHT(B64,5)),"h:mm AM/PM"),"OFF")</f>
        <v>OFF</v>
      </c>
      <c r="T64" t="str">
        <f>IFERROR(TEXT(TIMEVALUE(LEFT(Table2[[#This Row],[Tuesday]],5)),"h:mm AM/PM")&amp;" - "&amp;TEXT(TIMEVALUE(RIGHT(Table2[[#This Row],[Tuesday]],5)),"h:mm AM/PM"),"OFF")</f>
        <v>7:00 am - 6:00 pm</v>
      </c>
      <c r="U64" t="str">
        <f>IFERROR(TEXT(TIMEVALUE(LEFT(Table2[[#This Row],[Wednesday]],5)),"h:mm AM/PM")&amp;" - "&amp;TEXT(TIMEVALUE(RIGHT(Table2[[#This Row],[Wednesday]],5)),"h:mm AM/PM"),"OFF")</f>
        <v>7:00 am - 6:00 pm</v>
      </c>
      <c r="V64" t="str">
        <f>IFERROR(TEXT(TIMEVALUE(LEFT(Table2[[#This Row],[Thursday]],5)),"h:mm AM/PM")&amp;" - "&amp;TEXT(TIMEVALUE(RIGHT(Table2[[#This Row],[Thursday]],5)),"h:mm AM/PM"),"OFF")</f>
        <v>7:00 am - 6:00 pm</v>
      </c>
      <c r="W64" t="str">
        <f>IFERROR(TEXT(TIMEVALUE(LEFT(Table2[[#This Row],[Friday]],5)),"h:mm AM/PM")&amp;" - "&amp;TEXT(TIMEVALUE(RIGHT(Table2[[#This Row],[Friday]],5)),"h:mm AM/PM"),"OFF")</f>
        <v>7:00 am - 6:00 pm</v>
      </c>
      <c r="X64" t="str">
        <f>IFERROR(TEXT(TIMEVALUE(LEFT(Table2[[#This Row],[Saturday]],5)),"h:mm AM/PM")&amp;" - "&amp;TEXT(TIMEVALUE(RIGHT(Table2[[#This Row],[Saturday]],5)),"h:mm AM/PM"),"OFF")</f>
        <v>OFF</v>
      </c>
      <c r="Y64" t="str">
        <f>IFERROR(TEXT(TIMEVALUE(LEFT(Table2[[#This Row],[Sunday]],5)),"h:mm AM/PM")&amp;" - "&amp;TEXT(TIMEVALUE(RIGHT(Table2[[#This Row],[Sunday]],5)),"h:mm AM/PM"),"OFF")</f>
        <v>OFF</v>
      </c>
      <c r="Z64" t="str">
        <f t="shared" si="2"/>
        <v>Mon - Sat - Sun</v>
      </c>
      <c r="AA64" s="37">
        <f>Table2[[#This Row],[Break 1]]</f>
        <v>0.375</v>
      </c>
      <c r="AB64" s="37">
        <f>Table2[[#This Row],[Break 2]]</f>
        <v>0.59375</v>
      </c>
      <c r="AC64" s="37">
        <f>Table2[[#This Row],[Lunch]]</f>
        <v>0.45833333333333331</v>
      </c>
      <c r="AD64" s="37">
        <f>Table2[[#This Row],[Break 3]]</f>
        <v>0.67708333333333337</v>
      </c>
      <c r="AE64" t="str">
        <f>Table2[[#This Row],[Supervisor]]</f>
        <v>Christopher Rodas</v>
      </c>
      <c r="AF64" t="str">
        <f>IFERROR(TEXT(TIMEVALUE(LEFT(Table2[[#This Row],[EST SHIFT]],5)),"h:mm AM/PM")&amp;" - "&amp;TEXT(TIMEVALUE(RIGHT(Table2[[#This Row],[EST SHIFT]],5)),"h:mm AM/PM"),"OFF")</f>
        <v>7:00 am - 6:00 pm</v>
      </c>
      <c r="AG64">
        <f t="shared" si="3"/>
        <v>0</v>
      </c>
    </row>
    <row r="65" spans="1:33" x14ac:dyDescent="0.25">
      <c r="A65" s="48" t="s">
        <v>132</v>
      </c>
      <c r="B65" s="1" t="s">
        <v>127</v>
      </c>
      <c r="C65" s="1" t="s">
        <v>127</v>
      </c>
      <c r="D65" s="1" t="s">
        <v>127</v>
      </c>
      <c r="E65" s="1" t="s">
        <v>127</v>
      </c>
      <c r="F65" s="1" t="s">
        <v>18</v>
      </c>
      <c r="G65" s="1" t="s">
        <v>18</v>
      </c>
      <c r="H65" s="1" t="s">
        <v>18</v>
      </c>
      <c r="I65" s="2" t="s">
        <v>30</v>
      </c>
      <c r="J65" s="3">
        <v>0.375</v>
      </c>
      <c r="K65" s="3">
        <v>0.47916666666666669</v>
      </c>
      <c r="L65" s="3">
        <v>0.58333333333333337</v>
      </c>
      <c r="M65" s="3">
        <v>0.67708333333333337</v>
      </c>
      <c r="N65" s="4" t="s">
        <v>27</v>
      </c>
      <c r="O65" s="1" t="s">
        <v>127</v>
      </c>
      <c r="P65">
        <f t="shared" si="0"/>
        <v>0</v>
      </c>
      <c r="R65" t="str">
        <f>Table2[[#This Row],[Name]]</f>
        <v>Shiela Mae Laroa</v>
      </c>
      <c r="S65" t="str">
        <f>IFERROR(TEXT(TIMEVALUE(LEFT(B65,5)),"h:mm AM/PM")&amp;" - "&amp;TEXT(TIMEVALUE(RIGHT(B65,5)),"h:mm AM/PM"),"OFF")</f>
        <v>7:00 am - 6:00 pm</v>
      </c>
      <c r="T65" t="str">
        <f>IFERROR(TEXT(TIMEVALUE(LEFT(Table2[[#This Row],[Tuesday]],5)),"h:mm AM/PM")&amp;" - "&amp;TEXT(TIMEVALUE(RIGHT(Table2[[#This Row],[Tuesday]],5)),"h:mm AM/PM"),"OFF")</f>
        <v>7:00 am - 6:00 pm</v>
      </c>
      <c r="U65" t="str">
        <f>IFERROR(TEXT(TIMEVALUE(LEFT(Table2[[#This Row],[Wednesday]],5)),"h:mm AM/PM")&amp;" - "&amp;TEXT(TIMEVALUE(RIGHT(Table2[[#This Row],[Wednesday]],5)),"h:mm AM/PM"),"OFF")</f>
        <v>7:00 am - 6:00 pm</v>
      </c>
      <c r="V65" t="str">
        <f>IFERROR(TEXT(TIMEVALUE(LEFT(Table2[[#This Row],[Thursday]],5)),"h:mm AM/PM")&amp;" - "&amp;TEXT(TIMEVALUE(RIGHT(Table2[[#This Row],[Thursday]],5)),"h:mm AM/PM"),"OFF")</f>
        <v>7:00 am - 6:00 pm</v>
      </c>
      <c r="W65" t="str">
        <f>IFERROR(TEXT(TIMEVALUE(LEFT(Table2[[#This Row],[Friday]],5)),"h:mm AM/PM")&amp;" - "&amp;TEXT(TIMEVALUE(RIGHT(Table2[[#This Row],[Friday]],5)),"h:mm AM/PM"),"OFF")</f>
        <v>OFF</v>
      </c>
      <c r="X65" t="str">
        <f>IFERROR(TEXT(TIMEVALUE(LEFT(Table2[[#This Row],[Saturday]],5)),"h:mm AM/PM")&amp;" - "&amp;TEXT(TIMEVALUE(RIGHT(Table2[[#This Row],[Saturday]],5)),"h:mm AM/PM"),"OFF")</f>
        <v>OFF</v>
      </c>
      <c r="Y65" t="str">
        <f>IFERROR(TEXT(TIMEVALUE(LEFT(Table2[[#This Row],[Sunday]],5)),"h:mm AM/PM")&amp;" - "&amp;TEXT(TIMEVALUE(RIGHT(Table2[[#This Row],[Sunday]],5)),"h:mm AM/PM"),"OFF")</f>
        <v>OFF</v>
      </c>
      <c r="Z65" t="str">
        <f t="shared" si="2"/>
        <v>Fri - Sat - Sun</v>
      </c>
      <c r="AA65" s="37">
        <f>Table2[[#This Row],[Break 1]]</f>
        <v>0.375</v>
      </c>
      <c r="AB65" s="37">
        <f>Table2[[#This Row],[Break 2]]</f>
        <v>0.47916666666666669</v>
      </c>
      <c r="AC65" s="37">
        <f>Table2[[#This Row],[Lunch]]</f>
        <v>0.58333333333333337</v>
      </c>
      <c r="AD65" s="37">
        <f>Table2[[#This Row],[Break 3]]</f>
        <v>0.67708333333333337</v>
      </c>
      <c r="AE65" t="str">
        <f>Table2[[#This Row],[Supervisor]]</f>
        <v>Manilyn Abellar</v>
      </c>
      <c r="AF65" t="str">
        <f>IFERROR(TEXT(TIMEVALUE(LEFT(Table2[[#This Row],[EST SHIFT]],5)),"h:mm AM/PM")&amp;" - "&amp;TEXT(TIMEVALUE(RIGHT(Table2[[#This Row],[EST SHIFT]],5)),"h:mm AM/PM"),"OFF")</f>
        <v>7:00 am - 6:00 pm</v>
      </c>
      <c r="AG65">
        <f t="shared" si="3"/>
        <v>0</v>
      </c>
    </row>
    <row r="66" spans="1:33" x14ac:dyDescent="0.25">
      <c r="A66" s="48" t="s">
        <v>133</v>
      </c>
      <c r="B66" s="1" t="s">
        <v>25</v>
      </c>
      <c r="C66" s="1" t="s">
        <v>18</v>
      </c>
      <c r="D66" s="1" t="s">
        <v>25</v>
      </c>
      <c r="E66" s="1" t="s">
        <v>25</v>
      </c>
      <c r="F66" s="1" t="s">
        <v>25</v>
      </c>
      <c r="G66" s="1" t="s">
        <v>18</v>
      </c>
      <c r="H66" s="1" t="s">
        <v>18</v>
      </c>
      <c r="I66" s="2" t="s">
        <v>44</v>
      </c>
      <c r="J66" s="3">
        <v>0.42708333333333331</v>
      </c>
      <c r="K66" s="3">
        <v>0.64583333333333337</v>
      </c>
      <c r="L66" s="3">
        <v>0.51041666666666663</v>
      </c>
      <c r="M66" s="3">
        <v>0.76041666666666663</v>
      </c>
      <c r="N66" s="4" t="s">
        <v>38</v>
      </c>
      <c r="O66" s="1" t="s">
        <v>25</v>
      </c>
      <c r="P66">
        <f t="shared" si="0"/>
        <v>0</v>
      </c>
      <c r="R66" t="str">
        <f>Table2[[#This Row],[Name]]</f>
        <v>William Nava</v>
      </c>
      <c r="S66" t="str">
        <f>IFERROR(TEXT(TIMEVALUE(LEFT(B66,5)),"h:mm AM/PM")&amp;" - "&amp;TEXT(TIMEVALUE(RIGHT(B66,5)),"h:mm AM/PM"),"OFF")</f>
        <v>8:00 am - 7:00 pm</v>
      </c>
      <c r="T66" t="str">
        <f>IFERROR(TEXT(TIMEVALUE(LEFT(Table2[[#This Row],[Tuesday]],5)),"h:mm AM/PM")&amp;" - "&amp;TEXT(TIMEVALUE(RIGHT(Table2[[#This Row],[Tuesday]],5)),"h:mm AM/PM"),"OFF")</f>
        <v>OFF</v>
      </c>
      <c r="U66" t="str">
        <f>IFERROR(TEXT(TIMEVALUE(LEFT(Table2[[#This Row],[Wednesday]],5)),"h:mm AM/PM")&amp;" - "&amp;TEXT(TIMEVALUE(RIGHT(Table2[[#This Row],[Wednesday]],5)),"h:mm AM/PM"),"OFF")</f>
        <v>8:00 am - 7:00 pm</v>
      </c>
      <c r="V66" t="str">
        <f>IFERROR(TEXT(TIMEVALUE(LEFT(Table2[[#This Row],[Thursday]],5)),"h:mm AM/PM")&amp;" - "&amp;TEXT(TIMEVALUE(RIGHT(Table2[[#This Row],[Thursday]],5)),"h:mm AM/PM"),"OFF")</f>
        <v>8:00 am - 7:00 pm</v>
      </c>
      <c r="W66" t="str">
        <f>IFERROR(TEXT(TIMEVALUE(LEFT(Table2[[#This Row],[Friday]],5)),"h:mm AM/PM")&amp;" - "&amp;TEXT(TIMEVALUE(RIGHT(Table2[[#This Row],[Friday]],5)),"h:mm AM/PM"),"OFF")</f>
        <v>8:00 am - 7:00 pm</v>
      </c>
      <c r="X66" t="str">
        <f>IFERROR(TEXT(TIMEVALUE(LEFT(Table2[[#This Row],[Saturday]],5)),"h:mm AM/PM")&amp;" - "&amp;TEXT(TIMEVALUE(RIGHT(Table2[[#This Row],[Saturday]],5)),"h:mm AM/PM"),"OFF")</f>
        <v>OFF</v>
      </c>
      <c r="Y66" t="str">
        <f>IFERROR(TEXT(TIMEVALUE(LEFT(Table2[[#This Row],[Sunday]],5)),"h:mm AM/PM")&amp;" - "&amp;TEXT(TIMEVALUE(RIGHT(Table2[[#This Row],[Sunday]],5)),"h:mm AM/PM"),"OFF")</f>
        <v>OFF</v>
      </c>
      <c r="Z66" t="str">
        <f t="shared" si="2"/>
        <v>Tue - Sat - Sun</v>
      </c>
      <c r="AA66" s="37">
        <f>Table2[[#This Row],[Break 1]]</f>
        <v>0.42708333333333331</v>
      </c>
      <c r="AB66" s="37">
        <f>Table2[[#This Row],[Break 2]]</f>
        <v>0.64583333333333337</v>
      </c>
      <c r="AC66" s="37">
        <f>Table2[[#This Row],[Lunch]]</f>
        <v>0.51041666666666663</v>
      </c>
      <c r="AD66" s="37">
        <f>Table2[[#This Row],[Break 3]]</f>
        <v>0.76041666666666663</v>
      </c>
      <c r="AE66" t="str">
        <f>Table2[[#This Row],[Supervisor]]</f>
        <v>Anmecha Valencia</v>
      </c>
      <c r="AF66" t="str">
        <f>IFERROR(TEXT(TIMEVALUE(LEFT(Table2[[#This Row],[EST SHIFT]],5)),"h:mm AM/PM")&amp;" - "&amp;TEXT(TIMEVALUE(RIGHT(Table2[[#This Row],[EST SHIFT]],5)),"h:mm AM/PM"),"OFF")</f>
        <v>8:00 am - 7:00 pm</v>
      </c>
      <c r="AG66">
        <f t="shared" si="3"/>
        <v>0</v>
      </c>
    </row>
    <row r="70" spans="1:33" x14ac:dyDescent="0.25">
      <c r="A70" s="56" t="s">
        <v>0</v>
      </c>
      <c r="B70" s="56" t="s">
        <v>1</v>
      </c>
      <c r="C70" s="56" t="s">
        <v>2</v>
      </c>
      <c r="D70" s="56" t="s">
        <v>3</v>
      </c>
      <c r="E70" s="56" t="s">
        <v>4</v>
      </c>
      <c r="F70" s="56" t="s">
        <v>5</v>
      </c>
      <c r="G70" s="56" t="s">
        <v>6</v>
      </c>
      <c r="H70" s="56" t="s">
        <v>7</v>
      </c>
      <c r="I70" s="57" t="s">
        <v>8</v>
      </c>
      <c r="J70" s="56" t="s">
        <v>9</v>
      </c>
      <c r="K70" s="56" t="s">
        <v>10</v>
      </c>
      <c r="L70" s="56" t="s">
        <v>11</v>
      </c>
      <c r="M70" s="56" t="s">
        <v>12</v>
      </c>
    </row>
    <row r="71" spans="1:33" x14ac:dyDescent="0.25">
      <c r="A71" s="48" t="s">
        <v>169</v>
      </c>
      <c r="B71" s="1" t="s">
        <v>170</v>
      </c>
      <c r="C71" s="1" t="s">
        <v>18</v>
      </c>
      <c r="D71" s="1" t="s">
        <v>170</v>
      </c>
      <c r="E71" s="1" t="s">
        <v>18</v>
      </c>
      <c r="F71" s="1" t="s">
        <v>18</v>
      </c>
      <c r="G71" s="1" t="s">
        <v>170</v>
      </c>
      <c r="H71" s="1" t="s">
        <v>170</v>
      </c>
      <c r="I71" s="2" t="s">
        <v>171</v>
      </c>
      <c r="J71" s="3">
        <v>0.375</v>
      </c>
      <c r="K71" s="3">
        <v>0.58333333333333337</v>
      </c>
      <c r="L71" s="3">
        <v>0.45833333333333331</v>
      </c>
      <c r="M71" s="3">
        <v>0.67708333333333337</v>
      </c>
      <c r="N71" s="4"/>
      <c r="O71" s="1"/>
    </row>
    <row r="72" spans="1:33" x14ac:dyDescent="0.25">
      <c r="A72" s="48" t="s">
        <v>172</v>
      </c>
      <c r="B72" s="1" t="s">
        <v>173</v>
      </c>
      <c r="C72" s="1" t="s">
        <v>18</v>
      </c>
      <c r="D72" s="1" t="s">
        <v>173</v>
      </c>
      <c r="E72" s="1" t="s">
        <v>18</v>
      </c>
      <c r="F72" s="1" t="s">
        <v>18</v>
      </c>
      <c r="G72" s="1" t="s">
        <v>173</v>
      </c>
      <c r="H72" s="1" t="s">
        <v>173</v>
      </c>
      <c r="I72" s="2" t="s">
        <v>171</v>
      </c>
      <c r="J72" s="3">
        <v>0.4375</v>
      </c>
      <c r="K72" s="3">
        <v>0.6875</v>
      </c>
      <c r="L72" s="3">
        <v>0.5625</v>
      </c>
      <c r="M72" s="3">
        <v>0.78125</v>
      </c>
      <c r="N72" s="4"/>
      <c r="O72" s="1"/>
    </row>
  </sheetData>
  <phoneticPr fontId="8" type="noConversion"/>
  <conditionalFormatting sqref="A2:A14 A16:A60">
    <cfRule type="cellIs" dxfId="32" priority="50" operator="equal">
      <formula>"OFF"</formula>
    </cfRule>
  </conditionalFormatting>
  <conditionalFormatting sqref="B2:I63">
    <cfRule type="cellIs" dxfId="31" priority="34" operator="equal">
      <formula>"OFF"</formula>
    </cfRule>
  </conditionalFormatting>
  <conditionalFormatting sqref="I56:I57">
    <cfRule type="cellIs" dxfId="30" priority="38" operator="equal">
      <formula>"OFF"</formula>
    </cfRule>
  </conditionalFormatting>
  <conditionalFormatting sqref="O2:O63">
    <cfRule type="cellIs" dxfId="29" priority="10" operator="equal">
      <formula>"OFF"</formula>
    </cfRule>
  </conditionalFormatting>
  <conditionalFormatting sqref="B64:I66">
    <cfRule type="cellIs" dxfId="28" priority="4" operator="equal">
      <formula>"OFF"</formula>
    </cfRule>
  </conditionalFormatting>
  <conditionalFormatting sqref="O64:O66">
    <cfRule type="cellIs" dxfId="27" priority="3" operator="equal">
      <formula>"OFF"</formula>
    </cfRule>
  </conditionalFormatting>
  <conditionalFormatting sqref="B71:I72">
    <cfRule type="cellIs" dxfId="26" priority="2" operator="equal">
      <formula>"OFF"</formula>
    </cfRule>
  </conditionalFormatting>
  <conditionalFormatting sqref="O71:O72">
    <cfRule type="cellIs" dxfId="25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zoomScale="85" zoomScaleNormal="85" workbookViewId="0">
      <selection activeCell="O2" sqref="O2"/>
    </sheetView>
  </sheetViews>
  <sheetFormatPr defaultColWidth="9.140625" defaultRowHeight="15" x14ac:dyDescent="0.25"/>
  <cols>
    <col min="1" max="1" width="26.85546875" bestFit="1" customWidth="1"/>
    <col min="2" max="3" width="13" customWidth="1"/>
    <col min="4" max="4" width="13.85546875" customWidth="1"/>
    <col min="5" max="8" width="13" customWidth="1"/>
    <col min="9" max="9" width="20" customWidth="1"/>
    <col min="10" max="11" width="10" customWidth="1"/>
    <col min="12" max="12" width="9.140625" customWidth="1"/>
    <col min="13" max="13" width="10" customWidth="1"/>
    <col min="14" max="14" width="18.5703125" bestFit="1" customWidth="1"/>
    <col min="15" max="15" width="13.28515625" bestFit="1" customWidth="1"/>
    <col min="16" max="16" width="10.140625" bestFit="1" customWidth="1"/>
  </cols>
  <sheetData>
    <row r="1" spans="1:16" x14ac:dyDescent="0.25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1" t="s">
        <v>8</v>
      </c>
      <c r="J1" s="50" t="s">
        <v>9</v>
      </c>
      <c r="K1" s="50" t="s">
        <v>10</v>
      </c>
      <c r="L1" s="50" t="s">
        <v>11</v>
      </c>
      <c r="M1" s="50" t="s">
        <v>12</v>
      </c>
      <c r="N1" s="50" t="s">
        <v>13</v>
      </c>
      <c r="O1" s="52" t="s">
        <v>134</v>
      </c>
      <c r="P1" s="52" t="s">
        <v>135</v>
      </c>
    </row>
    <row r="2" spans="1:16" x14ac:dyDescent="0.25">
      <c r="A2" t="str">
        <f>Table2[[#This Row],[Name]]</f>
        <v>Aireen Balanon</v>
      </c>
      <c r="B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13:00 - 00:00</v>
      </c>
      <c r="C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13:00 - 00:00</v>
      </c>
      <c r="D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13:00 - 00:00</v>
      </c>
      <c r="H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13:00 - 00:00</v>
      </c>
      <c r="I2" t="str">
        <f>_xlfn.TEXTJOIN(" - ",TRUE,
IF(B2="OFF","Mon",""),
IF(C2="OFF","Tue",""),
IF(D2="OFF","Wed",""),
IF(E2="OFF","Thu",""),
IF(F2="OFF","Fri",""),
IF(G2="OFF","Sat",""),
IF(H2="OFF","Sun",""))</f>
        <v>Wed - Thu - Fri</v>
      </c>
      <c r="J2" s="15">
        <f>MOD('EST24'!J2+TIME(12,0,0),1)</f>
        <v>0.625</v>
      </c>
      <c r="K2" s="15">
        <f>MOD('EST24'!K2+TIME(12,0,0),1)</f>
        <v>0.85416666666666674</v>
      </c>
      <c r="L2" s="15">
        <f>MOD('EST24'!L2+TIME(12,0,0),1)</f>
        <v>0.76041666666666674</v>
      </c>
      <c r="M2" s="15">
        <f>MOD('EST24'!M2+TIME(12,0,0),1)</f>
        <v>0.94791666666666674</v>
      </c>
      <c r="N2" t="str">
        <f>'EST24'!N2</f>
        <v>Remmo Panaligan</v>
      </c>
      <c r="O2" t="s">
        <v>22</v>
      </c>
      <c r="P2">
        <f>IF(
TIMEVALUE(LEFT(O2,FIND("-",O2)-1))&gt;=12/24,
0,
1
)</f>
        <v>0</v>
      </c>
    </row>
    <row r="3" spans="1:16" x14ac:dyDescent="0.25">
      <c r="A3" t="str">
        <f>Table2[[#This Row],[Name]]</f>
        <v>Alec Christian Palabay</v>
      </c>
      <c r="B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" t="str">
        <f t="shared" ref="I3:I63" si="0">_xlfn.TEXTJOIN(" - ",TRUE,
IF(B3="OFF","Mon",""),
IF(C3="OFF","Tue",""),
IF(D3="OFF","Wed",""),
IF(E3="OFF","Thu",""),
IF(F3="OFF","Fri",""),
IF(G3="OFF","Sat",""),
IF(H3="OFF","Sun",""))</f>
        <v>Fri - Sat - Sun</v>
      </c>
      <c r="J3" s="15">
        <f>MOD('EST24'!J3+TIME(12,0,0),1)</f>
        <v>0.11458333333333348</v>
      </c>
      <c r="K3" s="15">
        <f>MOD('EST24'!K3+TIME(12,0,0),1)</f>
        <v>0.3125</v>
      </c>
      <c r="L3" s="15">
        <f>MOD('EST24'!L3+TIME(12,0,0),1)</f>
        <v>0.1875</v>
      </c>
      <c r="M3" s="15">
        <f>MOD('EST24'!M3+TIME(12,0,0),1)</f>
        <v>0.41666666666666652</v>
      </c>
      <c r="N3" t="str">
        <f>'EST24'!N3</f>
        <v>Remmo Panaligan</v>
      </c>
      <c r="O3" t="s">
        <v>17</v>
      </c>
      <c r="P3">
        <f t="shared" ref="P3:P63" si="1">IF(
TIMEVALUE(LEFT(O3,FIND("-",O3)-1))&gt;=12/24,
0,
1
)</f>
        <v>1</v>
      </c>
    </row>
    <row r="4" spans="1:16" x14ac:dyDescent="0.25">
      <c r="A4" t="str">
        <f>Table2[[#This Row],[Name]]</f>
        <v>Andrei Mark Llenos</v>
      </c>
      <c r="B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" t="str">
        <f t="shared" si="0"/>
        <v>Thu - Sat - Sun</v>
      </c>
      <c r="J4" s="15">
        <f>MOD('EST24'!J4+TIME(12,0,0),1)</f>
        <v>0.89583333333333326</v>
      </c>
      <c r="K4" s="15">
        <f>MOD('EST24'!K4+TIME(12,0,0),1)</f>
        <v>0.10416666666666652</v>
      </c>
      <c r="L4" s="15">
        <f>MOD('EST24'!L4+TIME(12,0,0),1)</f>
        <v>0.97916666666666674</v>
      </c>
      <c r="M4" s="15">
        <f>MOD('EST24'!M4+TIME(12,0,0),1)</f>
        <v>0.23958333333333348</v>
      </c>
      <c r="N4" t="str">
        <f>'EST24'!N4</f>
        <v>Manilyn Abellar</v>
      </c>
      <c r="O4" t="s">
        <v>32</v>
      </c>
      <c r="P4">
        <f t="shared" si="1"/>
        <v>0</v>
      </c>
    </row>
    <row r="5" spans="1:16" x14ac:dyDescent="0.25">
      <c r="A5" t="str">
        <f>Table2[[#This Row],[Name]]</f>
        <v>Antonio Agda</v>
      </c>
      <c r="B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" t="str">
        <f>_xlfn.TEXTJOIN(" - ",TRUE,
IF(B5="OFF","Mon",""),
IF(C5="OFF","Tue",""),
IF(D5="OFF","Wed",""),
IF(E5="OFF","Thu",""),
IF(F5="OFF","Fri",""),
IF(G5="OFF","Sat",""),
IF(H5="OFF","Sun",""))</f>
        <v>Fri - Sat - Sun</v>
      </c>
      <c r="J5" s="15">
        <f>MOD('EST24'!J30+TIME(12,0,0),1)</f>
        <v>0.91666666666666674</v>
      </c>
      <c r="K5" s="15">
        <f>MOD('EST24'!K30+TIME(12,0,0),1)</f>
        <v>0.14583333333333348</v>
      </c>
      <c r="L5" s="15">
        <f>MOD('EST24'!L30+TIME(12,0,0),1)</f>
        <v>0</v>
      </c>
      <c r="M5" s="15">
        <f>MOD('EST24'!M30+TIME(12,0,0),1)</f>
        <v>0.25</v>
      </c>
      <c r="N5" t="str">
        <f>'EST24'!N30</f>
        <v>Manilyn Abellar</v>
      </c>
      <c r="O5" t="s">
        <v>85</v>
      </c>
      <c r="P5">
        <f>IF(
TIMEVALUE(LEFT(O5,FIND("-",O5)-1))&gt;=12/24,
0,
1
)</f>
        <v>1</v>
      </c>
    </row>
    <row r="6" spans="1:16" x14ac:dyDescent="0.25">
      <c r="A6" t="str">
        <f>Table2[[#This Row],[Name]]</f>
        <v>Aysha Sagira Macalandong</v>
      </c>
      <c r="B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6" t="str">
        <f>_xlfn.TEXTJOIN(" - ",TRUE,
IF(B6="OFF","Mon",""),
IF(C6="OFF","Tue",""),
IF(D6="OFF","Wed",""),
IF(E6="OFF","Thu",""),
IF(F6="OFF","Fri",""),
IF(G6="OFF","Sat",""),
IF(H6="OFF","Sun",""))</f>
        <v>Tue - Wed - Thu</v>
      </c>
      <c r="J6" s="15">
        <f>MOD('EST24'!J6+TIME(12,0,0),1)</f>
        <v>0.42708333333333348</v>
      </c>
      <c r="K6" s="15">
        <f>MOD('EST24'!K6+TIME(12,0,0),1)</f>
        <v>0.51041666666666663</v>
      </c>
      <c r="L6" s="15">
        <f>MOD('EST24'!L6+TIME(12,0,0),1)</f>
        <v>0.6875</v>
      </c>
      <c r="M6" s="15">
        <f>MOD('EST24'!M6+TIME(12,0,0),1)</f>
        <v>0.60416666666666663</v>
      </c>
      <c r="N6" t="str">
        <f>'EST24'!N6</f>
        <v>Michael Dominguez</v>
      </c>
      <c r="O6" t="s">
        <v>25</v>
      </c>
      <c r="P6">
        <f>IF(
TIMEVALUE(LEFT(O6,FIND("-",O6)-1))&gt;=12/24,
0,
1
)</f>
        <v>1</v>
      </c>
    </row>
    <row r="7" spans="1:16" x14ac:dyDescent="0.25">
      <c r="A7" t="str">
        <f>Table2[[#This Row],[Name]]</f>
        <v>Azilean Khrista Almazan</v>
      </c>
      <c r="B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7" t="str">
        <f>_xlfn.TEXTJOIN(" - ",TRUE,
IF(B7="OFF","Mon",""),
IF(C7="OFF","Tue",""),
IF(D7="OFF","Wed",""),
IF(E7="OFF","Thu",""),
IF(F7="OFF","Fri",""),
IF(G7="OFF","Sat",""),
IF(H7="OFF","Sun",""))</f>
        <v>Mon - Tue - Sun</v>
      </c>
      <c r="J7" s="15">
        <f>MOD('EST24'!J7+TIME(12,0,0),1)</f>
        <v>0.95833333333333326</v>
      </c>
      <c r="K7" s="15">
        <f>MOD('EST24'!K7+TIME(12,0,0),1)</f>
        <v>5.2083333333333481E-2</v>
      </c>
      <c r="L7" s="15">
        <f>MOD('EST24'!L7+TIME(12,0,0),1)</f>
        <v>0.1875</v>
      </c>
      <c r="M7" s="15">
        <f>MOD('EST24'!M7+TIME(12,0,0),1)</f>
        <v>0.28125</v>
      </c>
      <c r="N7" t="str">
        <f>'EST24'!N7</f>
        <v>Anmecha Valencia</v>
      </c>
      <c r="O7" t="s">
        <v>82</v>
      </c>
      <c r="P7">
        <f>IF(
TIMEVALUE(LEFT(O7,FIND("-",O7)-1))&gt;=12/24,
0,
1
)</f>
        <v>0</v>
      </c>
    </row>
    <row r="8" spans="1:16" x14ac:dyDescent="0.25">
      <c r="A8" t="str">
        <f>Table2[[#This Row],[Name]]</f>
        <v>Benedict Ermitano</v>
      </c>
      <c r="B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8" t="str">
        <f>_xlfn.TEXTJOIN(" - ",TRUE,
IF(B8="OFF","Mon",""),
IF(C8="OFF","Tue",""),
IF(D8="OFF","Wed",""),
IF(E8="OFF","Thu",""),
IF(F8="OFF","Fri",""),
IF(G8="OFF","Sat",""),
IF(H8="OFF","Sun",""))</f>
        <v>Thu - Sat - Sun</v>
      </c>
      <c r="J8" s="15">
        <f>MOD('EST24'!J21+TIME(12,0,0),1)</f>
        <v>0.9375</v>
      </c>
      <c r="K8" s="15">
        <f>MOD('EST24'!K21+TIME(12,0,0),1)</f>
        <v>0.15625</v>
      </c>
      <c r="L8" s="15">
        <f>MOD('EST24'!L21+TIME(12,0,0),1)</f>
        <v>3.125E-2</v>
      </c>
      <c r="M8" s="15">
        <f>MOD('EST24'!M21+TIME(12,0,0),1)</f>
        <v>0.25</v>
      </c>
      <c r="N8" t="str">
        <f>'EST24'!N21</f>
        <v>Michael Dominguez</v>
      </c>
      <c r="O8" t="s">
        <v>66</v>
      </c>
      <c r="P8">
        <f>IF(
TIMEVALUE(LEFT(O8,FIND("-",O8)-1))&gt;=12/24,
0,
1
)</f>
        <v>1</v>
      </c>
    </row>
    <row r="9" spans="1:16" x14ac:dyDescent="0.25">
      <c r="A9" t="str">
        <f>Table2[[#This Row],[Name]]</f>
        <v>Carlos Kiamco</v>
      </c>
      <c r="B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9" t="str">
        <f>_xlfn.TEXTJOIN(" - ",TRUE,
IF(B9="OFF","Mon",""),
IF(C9="OFF","Tue",""),
IF(D9="OFF","Wed",""),
IF(E9="OFF","Thu",""),
IF(F9="OFF","Fri",""),
IF(G9="OFF","Sat",""),
IF(H9="OFF","Sun",""))</f>
        <v>Tue - Wed - Thu</v>
      </c>
      <c r="J9" s="15">
        <f>MOD('EST24'!J14+TIME(12,0,0),1)</f>
        <v>0.375</v>
      </c>
      <c r="K9" s="15">
        <f>MOD('EST24'!K14+TIME(12,0,0),1)</f>
        <v>0.45833333333333348</v>
      </c>
      <c r="L9" s="15">
        <f>MOD('EST24'!L14+TIME(12,0,0),1)</f>
        <v>0.5625</v>
      </c>
      <c r="M9" s="15">
        <f>MOD('EST24'!M14+TIME(12,0,0),1)</f>
        <v>0.6875</v>
      </c>
      <c r="N9" t="str">
        <f>'EST24'!N14</f>
        <v>Manilyn Abellar</v>
      </c>
      <c r="O9" t="s">
        <v>127</v>
      </c>
      <c r="P9">
        <f>IF(
TIMEVALUE(LEFT(O9,FIND("-",O9)-1))&gt;=12/24,
0,
1
)</f>
        <v>1</v>
      </c>
    </row>
    <row r="10" spans="1:16" x14ac:dyDescent="0.25">
      <c r="A10" t="str">
        <f>Table2[[#This Row],[Name]]</f>
        <v>Charisse Capuno</v>
      </c>
      <c r="B1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0" t="str">
        <f>_xlfn.TEXTJOIN(" - ",TRUE,
IF(B10="OFF","Mon",""),
IF(C10="OFF","Tue",""),
IF(D10="OFF","Wed",""),
IF(E10="OFF","Thu",""),
IF(F10="OFF","Fri",""),
IF(G10="OFF","Sat",""),
IF(H10="OFF","Sun",""))</f>
        <v>Tue - Sat - Sun</v>
      </c>
      <c r="J10" s="15">
        <f>MOD('EST24'!J10+TIME(12,0,0),1)</f>
        <v>0.96875</v>
      </c>
      <c r="K10" s="15">
        <f>MOD('EST24'!K10+TIME(12,0,0),1)</f>
        <v>6.25E-2</v>
      </c>
      <c r="L10" s="15">
        <f>MOD('EST24'!L10+TIME(12,0,0),1)</f>
        <v>0.25</v>
      </c>
      <c r="M10" s="15">
        <f>MOD('EST24'!M10+TIME(12,0,0),1)</f>
        <v>0.15625</v>
      </c>
      <c r="N10" t="str">
        <f>'EST24'!N10</f>
        <v>Anmecha Valencia</v>
      </c>
      <c r="O10" t="s">
        <v>82</v>
      </c>
      <c r="P10">
        <f>IF(
TIMEVALUE(LEFT(O10,FIND("-",O10)-1))&gt;=12/24,
0,
1
)</f>
        <v>0</v>
      </c>
    </row>
    <row r="11" spans="1:16" x14ac:dyDescent="0.25">
      <c r="A11" t="str">
        <f>Table2[[#This Row],[Name]]</f>
        <v>Chris Paul Dalut</v>
      </c>
      <c r="B1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15:00 - 02:00</v>
      </c>
      <c r="C1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15:00 - 02:00</v>
      </c>
      <c r="D1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15:00 - 02:00</v>
      </c>
      <c r="F1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15:00 - 02:00</v>
      </c>
      <c r="G1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1" t="str">
        <f>_xlfn.TEXTJOIN(" - ",TRUE,
IF(B11="OFF","Mon",""),
IF(C11="OFF","Tue",""),
IF(D11="OFF","Wed",""),
IF(E11="OFF","Thu",""),
IF(F11="OFF","Fri",""),
IF(G11="OFF","Sat",""),
IF(H11="OFF","Sun",""))</f>
        <v>Wed - Sat - Sun</v>
      </c>
      <c r="J11" s="15">
        <f>MOD('EST24'!J50+TIME(12,0,0),1)</f>
        <v>0.79166666666666674</v>
      </c>
      <c r="K11" s="15">
        <f>MOD('EST24'!K50+TIME(12,0,0),1)</f>
        <v>1.0416666666666519E-2</v>
      </c>
      <c r="L11" s="15">
        <f>MOD('EST24'!L50+TIME(12,0,0),1)</f>
        <v>0.88541666666666674</v>
      </c>
      <c r="M11" s="15">
        <f>MOD('EST24'!M50+TIME(12,0,0),1)</f>
        <v>0.11458333333333348</v>
      </c>
      <c r="N11" t="str">
        <f>'EST24'!N50</f>
        <v>Remmo Panaligan</v>
      </c>
      <c r="O11" t="s">
        <v>25</v>
      </c>
      <c r="P11">
        <f>IF(
TIMEVALUE(LEFT(O11,FIND("-",O11)-1))&gt;=12/24,
0,
1
)</f>
        <v>1</v>
      </c>
    </row>
    <row r="12" spans="1:16" x14ac:dyDescent="0.25">
      <c r="A12" t="str">
        <f>Table2[[#This Row],[Name]]</f>
        <v>Christian Lajera</v>
      </c>
      <c r="B1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2" t="str">
        <f>_xlfn.TEXTJOIN(" - ",TRUE,
IF(B12="OFF","Mon",""),
IF(C12="OFF","Tue",""),
IF(D12="OFF","Wed",""),
IF(E12="OFF","Thu",""),
IF(F12="OFF","Fri",""),
IF(G12="OFF","Sat",""),
IF(H12="OFF","Sun",""))</f>
        <v>Mon - Sat - Sun</v>
      </c>
      <c r="J12" s="15">
        <f>MOD('EST24'!J35+TIME(12,0,0),1)</f>
        <v>0.83333333333333326</v>
      </c>
      <c r="K12" s="15">
        <f>MOD('EST24'!K35+TIME(12,0,0),1)</f>
        <v>5.2083333333333481E-2</v>
      </c>
      <c r="L12" s="15">
        <f>MOD('EST24'!L35+TIME(12,0,0),1)</f>
        <v>0.92708333333333326</v>
      </c>
      <c r="M12" s="15">
        <f>MOD('EST24'!M35+TIME(12,0,0),1)</f>
        <v>0.14583333333333348</v>
      </c>
      <c r="N12" t="str">
        <f>'EST24'!N35</f>
        <v>Remmo Panaligan</v>
      </c>
      <c r="O12" t="s">
        <v>36</v>
      </c>
      <c r="P12">
        <f>IF(
TIMEVALUE(LEFT(O12,FIND("-",O12)-1))&gt;=12/24,
0,
1
)</f>
        <v>1</v>
      </c>
    </row>
    <row r="13" spans="1:16" x14ac:dyDescent="0.25">
      <c r="A13" t="str">
        <f>Table2[[#This Row],[Name]]</f>
        <v>Cleendy Cerilla</v>
      </c>
      <c r="B1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1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1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1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1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3" t="str">
        <f>_xlfn.TEXTJOIN(" - ",TRUE,
IF(B13="OFF","Mon",""),
IF(C13="OFF","Tue",""),
IF(D13="OFF","Wed",""),
IF(E13="OFF","Thu",""),
IF(F13="OFF","Fri",""),
IF(G13="OFF","Sat",""),
IF(H13="OFF","Sun",""))</f>
        <v>Fri - Sat - Sun</v>
      </c>
      <c r="J13" s="15">
        <f>MOD('EST24'!J28+TIME(12,0,0),1)</f>
        <v>0.65625</v>
      </c>
      <c r="K13" s="15">
        <f>MOD('EST24'!K28+TIME(12,0,0),1)</f>
        <v>0.875</v>
      </c>
      <c r="L13" s="15">
        <f>MOD('EST24'!L28+TIME(12,0,0),1)</f>
        <v>0.75</v>
      </c>
      <c r="M13" s="15">
        <f>MOD('EST24'!M28+TIME(12,0,0),1)</f>
        <v>0.97916666666666674</v>
      </c>
      <c r="N13" t="str">
        <f>'EST24'!N28</f>
        <v>Christopher Rodas</v>
      </c>
      <c r="O13" t="s">
        <v>70</v>
      </c>
      <c r="P13">
        <f>IF(
TIMEVALUE(LEFT(O13,FIND("-",O13)-1))&gt;=12/24,
0,
1
)</f>
        <v>1</v>
      </c>
    </row>
    <row r="14" spans="1:16" x14ac:dyDescent="0.25">
      <c r="A14" t="str">
        <f>Table2[[#This Row],[Name]]</f>
        <v>Crisma Vic Melecio</v>
      </c>
      <c r="B1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07:00 - 18:00</v>
      </c>
      <c r="C1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07:00 - 18:00</v>
      </c>
      <c r="G1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07:00 - 18:00</v>
      </c>
      <c r="H1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07:00 - 18:00</v>
      </c>
      <c r="I14" t="str">
        <f>_xlfn.TEXTJOIN(" - ",TRUE,
IF(B14="OFF","Mon",""),
IF(C14="OFF","Tue",""),
IF(D14="OFF","Wed",""),
IF(E14="OFF","Thu",""),
IF(F14="OFF","Fri",""),
IF(G14="OFF","Sat",""),
IF(H14="OFF","Sun",""))</f>
        <v>Tue - Wed - Thu</v>
      </c>
      <c r="J14" s="15">
        <f>MOD('EST24'!J40+TIME(12,0,0),1)</f>
        <v>0.92708333333333326</v>
      </c>
      <c r="K14" s="15">
        <f>MOD('EST24'!K40+TIME(12,0,0),1)</f>
        <v>0.13541666666666652</v>
      </c>
      <c r="L14" s="15">
        <f>MOD('EST24'!L40+TIME(12,0,0),1)</f>
        <v>1.0416666666666519E-2</v>
      </c>
      <c r="M14" s="15">
        <f>MOD('EST24'!M40+TIME(12,0,0),1)</f>
        <v>0.23958333333333348</v>
      </c>
      <c r="N14" t="str">
        <f>'EST24'!N40</f>
        <v>Remmo Panaligan</v>
      </c>
      <c r="O14" t="s">
        <v>129</v>
      </c>
      <c r="P14">
        <f>IF(
TIMEVALUE(LEFT(O14,FIND("-",O14)-1))&gt;=12/24,
0,
1
)</f>
        <v>1</v>
      </c>
    </row>
    <row r="15" spans="1:16" x14ac:dyDescent="0.25">
      <c r="A15" t="str">
        <f>Table2[[#This Row],[Name]]</f>
        <v>Cynthia Anosa</v>
      </c>
      <c r="B1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16:00 - 03:00</v>
      </c>
      <c r="D1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16:00 - 03:00</v>
      </c>
      <c r="E1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16:00 - 03:00</v>
      </c>
      <c r="F1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16:00 - 03:00</v>
      </c>
      <c r="G1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5" t="str">
        <f>_xlfn.TEXTJOIN(" - ",TRUE,
IF(B15="OFF","Mon",""),
IF(C15="OFF","Tue",""),
IF(D15="OFF","Wed",""),
IF(E15="OFF","Thu",""),
IF(F15="OFF","Fri",""),
IF(G15="OFF","Sat",""),
IF(H15="OFF","Sun",""))</f>
        <v>Mon - Sat - Sun</v>
      </c>
      <c r="J15" s="15">
        <f>MOD('EST24'!J15+TIME(12,0,0),1)</f>
        <v>0.73958333333333337</v>
      </c>
      <c r="K15" s="15">
        <f>MOD('EST24'!K15+TIME(12,0,0),1)</f>
        <v>2.0833333333333481E-2</v>
      </c>
      <c r="L15" s="15">
        <f>MOD('EST24'!L15+TIME(12,0,0),1)</f>
        <v>0.85416666666666674</v>
      </c>
      <c r="M15" s="15">
        <f>MOD('EST24'!M15+TIME(12,0,0),1)</f>
        <v>8.3333333333333481E-2</v>
      </c>
      <c r="N15" t="str">
        <f>'EST24'!N15</f>
        <v>Manilyn Abellar</v>
      </c>
      <c r="O15" t="s">
        <v>138</v>
      </c>
      <c r="P15">
        <f>IF(
TIMEVALUE(LEFT(O15,FIND("-",O15)-1))&gt;=12/24,
0,
1
)</f>
        <v>0</v>
      </c>
    </row>
    <row r="16" spans="1:16" x14ac:dyDescent="0.25">
      <c r="A16" t="str">
        <f>Table2[[#This Row],[Name]]</f>
        <v>Cyril Tagalog</v>
      </c>
      <c r="B1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6" t="str">
        <f>_xlfn.TEXTJOIN(" - ",TRUE,
IF(B16="OFF","Mon",""),
IF(C16="OFF","Tue",""),
IF(D16="OFF","Wed",""),
IF(E16="OFF","Thu",""),
IF(F16="OFF","Fri",""),
IF(G16="OFF","Sat",""),
IF(H16="OFF","Sun",""))</f>
        <v>Fri - Sat - Sun</v>
      </c>
      <c r="J16" s="15">
        <f>MOD('EST24'!J27+TIME(12,0,0),1)</f>
        <v>4.1666666666666519E-2</v>
      </c>
      <c r="K16" s="15">
        <f>MOD('EST24'!K27+TIME(12,0,0),1)</f>
        <v>0.26041666666666652</v>
      </c>
      <c r="L16" s="15">
        <f>MOD('EST24'!L27+TIME(12,0,0),1)</f>
        <v>0.13541666666666652</v>
      </c>
      <c r="M16" s="15">
        <f>MOD('EST24'!M27+TIME(12,0,0),1)</f>
        <v>0.36458333333333348</v>
      </c>
      <c r="N16" t="str">
        <f>'EST24'!N27</f>
        <v>Remmo Panaligan</v>
      </c>
      <c r="O16" t="s">
        <v>139</v>
      </c>
      <c r="P16">
        <f>IF(
TIMEVALUE(LEFT(O16,FIND("-",O16)-1))&gt;=12/24,
0,
1
)</f>
        <v>0</v>
      </c>
    </row>
    <row r="17" spans="1:16" x14ac:dyDescent="0.25">
      <c r="A17" t="str">
        <f>Table2[[#This Row],[Name]]</f>
        <v>Dairenn Angel Adarne</v>
      </c>
      <c r="B1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1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20:00 - 07:00</v>
      </c>
      <c r="H1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20:00 - 07:00</v>
      </c>
      <c r="I17" t="str">
        <f>_xlfn.TEXTJOIN(" - ",TRUE,
IF(B17="OFF","Mon",""),
IF(C17="OFF","Tue",""),
IF(D17="OFF","Wed",""),
IF(E17="OFF","Thu",""),
IF(F17="OFF","Fri",""),
IF(G17="OFF","Sat",""),
IF(H17="OFF","Sun",""))</f>
        <v>Tue - Wed - Thu</v>
      </c>
      <c r="J17" s="15">
        <f>MOD('EST24'!J11+TIME(12,0,0),1)</f>
        <v>0.69791666666666663</v>
      </c>
      <c r="K17" s="15">
        <f>MOD('EST24'!K11+TIME(12,0,0),1)</f>
        <v>0.9375</v>
      </c>
      <c r="L17" s="15">
        <f>MOD('EST24'!L11+TIME(12,0,0),1)</f>
        <v>0.8125</v>
      </c>
      <c r="M17" s="15">
        <f>MOD('EST24'!M11+TIME(12,0,0),1)</f>
        <v>4.1666666666666519E-2</v>
      </c>
      <c r="N17" t="str">
        <f>'EST24'!N11</f>
        <v>Anmecha Valencia</v>
      </c>
      <c r="O17" t="s">
        <v>137</v>
      </c>
      <c r="P17">
        <f>IF(
TIMEVALUE(LEFT(O17,FIND("-",O17)-1))&gt;=12/24,
0,
1
)</f>
        <v>0</v>
      </c>
    </row>
    <row r="18" spans="1:16" x14ac:dyDescent="0.25">
      <c r="A18" t="str">
        <f>Table2[[#This Row],[Name]]</f>
        <v>Dharlyn Grej Estillore</v>
      </c>
      <c r="B1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1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1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1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1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8" t="str">
        <f>_xlfn.TEXTJOIN(" - ",TRUE,
IF(B18="OFF","Mon",""),
IF(C18="OFF","Tue",""),
IF(D18="OFF","Wed",""),
IF(E18="OFF","Thu",""),
IF(F18="OFF","Fri",""),
IF(G18="OFF","Sat",""),
IF(H18="OFF","Sun",""))</f>
        <v>Fri - Sat - Sun</v>
      </c>
      <c r="J18" s="15">
        <f>MOD('EST24'!J23+TIME(12,0,0),1)</f>
        <v>0.84375</v>
      </c>
      <c r="K18" s="15">
        <f>MOD('EST24'!K23+TIME(12,0,0),1)</f>
        <v>6.25E-2</v>
      </c>
      <c r="L18" s="15">
        <f>MOD('EST24'!L23+TIME(12,0,0),1)</f>
        <v>0.9375</v>
      </c>
      <c r="M18" s="15">
        <f>MOD('EST24'!M23+TIME(12,0,0),1)</f>
        <v>0.15625</v>
      </c>
      <c r="N18" t="str">
        <f>'EST24'!N23</f>
        <v>Remmo Panaligan</v>
      </c>
      <c r="O18" t="s">
        <v>100</v>
      </c>
      <c r="P18">
        <f>IF(
TIMEVALUE(LEFT(O18,FIND("-",O18)-1))&gt;=12/24,
0,
1
)</f>
        <v>0</v>
      </c>
    </row>
    <row r="19" spans="1:16" x14ac:dyDescent="0.25">
      <c r="A19" t="str">
        <f>Table2[[#This Row],[Name]]</f>
        <v>Eduardo Jacinto</v>
      </c>
      <c r="B1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9" t="str">
        <f>_xlfn.TEXTJOIN(" - ",TRUE,
IF(B19="OFF","Mon",""),
IF(C19="OFF","Tue",""),
IF(D19="OFF","Wed",""),
IF(E19="OFF","Thu",""),
IF(F19="OFF","Fri",""),
IF(G19="OFF","Sat",""),
IF(H19="OFF","Sun",""))</f>
        <v>Thu - Sat - Sun</v>
      </c>
      <c r="J19" s="15">
        <f>MOD('EST24'!J31+TIME(12,0,0),1)</f>
        <v>8.3333333333333481E-2</v>
      </c>
      <c r="K19" s="15">
        <f>MOD('EST24'!K31+TIME(12,0,0),1)</f>
        <v>0.3125</v>
      </c>
      <c r="L19" s="15">
        <f>MOD('EST24'!L31+TIME(12,0,0),1)</f>
        <v>0.17708333333333348</v>
      </c>
      <c r="M19" s="15">
        <f>MOD('EST24'!M31+TIME(12,0,0),1)</f>
        <v>0.41666666666666652</v>
      </c>
      <c r="N19" t="str">
        <f>'EST24'!N31</f>
        <v>Manilyn Abellar</v>
      </c>
      <c r="O19" t="s">
        <v>100</v>
      </c>
      <c r="P19">
        <f>IF(
TIMEVALUE(LEFT(O19,FIND("-",O19)-1))&gt;=12/24,
0,
1
)</f>
        <v>0</v>
      </c>
    </row>
    <row r="20" spans="1:16" x14ac:dyDescent="0.25">
      <c r="A20" t="str">
        <f>Table2[[#This Row],[Name]]</f>
        <v>Elijah Jeremy Racca</v>
      </c>
      <c r="B2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0" t="str">
        <f>_xlfn.TEXTJOIN(" - ",TRUE,
IF(B20="OFF","Mon",""),
IF(C20="OFF","Tue",""),
IF(D20="OFF","Wed",""),
IF(E20="OFF","Thu",""),
IF(F20="OFF","Fri",""),
IF(G20="OFF","Sat",""),
IF(H20="OFF","Sun",""))</f>
        <v>Wed - Sat - Sun</v>
      </c>
      <c r="J20" s="15">
        <f>MOD('EST24'!J22+TIME(12,0,0),1)</f>
        <v>0.39583333333333348</v>
      </c>
      <c r="K20" s="15">
        <f>MOD('EST24'!K22+TIME(12,0,0),1)</f>
        <v>0.60416666666666663</v>
      </c>
      <c r="L20" s="15">
        <f>MOD('EST24'!L22+TIME(12,0,0),1)</f>
        <v>0.47916666666666652</v>
      </c>
      <c r="M20" s="15">
        <f>MOD('EST24'!M22+TIME(12,0,0),1)</f>
        <v>0.6875</v>
      </c>
      <c r="N20" t="str">
        <f>'EST24'!N22</f>
        <v>Christopher Rodas</v>
      </c>
      <c r="O20" t="s">
        <v>63</v>
      </c>
      <c r="P20">
        <f>IF(
TIMEVALUE(LEFT(O20,FIND("-",O20)-1))&gt;=12/24,
0,
1
)</f>
        <v>0</v>
      </c>
    </row>
    <row r="21" spans="1:16" x14ac:dyDescent="0.25">
      <c r="A21" t="str">
        <f>Table2[[#This Row],[Name]]</f>
        <v>Eljhon Mar Cabalida</v>
      </c>
      <c r="B2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1" t="str">
        <f>_xlfn.TEXTJOIN(" - ",TRUE,
IF(B21="OFF","Mon",""),
IF(C21="OFF","Tue",""),
IF(D21="OFF","Wed",""),
IF(E21="OFF","Thu",""),
IF(F21="OFF","Fri",""),
IF(G21="OFF","Sat",""),
IF(H21="OFF","Sun",""))</f>
        <v>Wed - Sat - Sun</v>
      </c>
      <c r="J21" s="15">
        <f>MOD('EST24'!J34+TIME(12,0,0),1)</f>
        <v>0.84375</v>
      </c>
      <c r="K21" s="15">
        <f>MOD('EST24'!K34+TIME(12,0,0),1)</f>
        <v>0.66666666666666663</v>
      </c>
      <c r="L21" s="15">
        <f>MOD('EST24'!L34+TIME(12,0,0),1)</f>
        <v>0.72916666666666663</v>
      </c>
      <c r="M21" s="15">
        <f>MOD('EST24'!M34+TIME(12,0,0),1)</f>
        <v>0.92708333333333326</v>
      </c>
      <c r="N21" t="str">
        <f>'EST24'!N34</f>
        <v>Manilyn Abellar</v>
      </c>
      <c r="O21" t="s">
        <v>63</v>
      </c>
      <c r="P21">
        <f>IF(
TIMEVALUE(LEFT(O21,FIND("-",O21)-1))&gt;=12/24,
0,
1
)</f>
        <v>0</v>
      </c>
    </row>
    <row r="22" spans="1:16" x14ac:dyDescent="0.25">
      <c r="A22" t="str">
        <f>Table2[[#This Row],[Name]]</f>
        <v>France Bajao</v>
      </c>
      <c r="B2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06:00 - 17:00</v>
      </c>
      <c r="C2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06:00 - 17:00</v>
      </c>
      <c r="D2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06:00 - 17:00</v>
      </c>
      <c r="E2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06:00 - 17:00</v>
      </c>
      <c r="H2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2" t="str">
        <f>_xlfn.TEXTJOIN(" - ",TRUE,
IF(B22="OFF","Mon",""),
IF(C22="OFF","Tue",""),
IF(D22="OFF","Wed",""),
IF(E22="OFF","Thu",""),
IF(F22="OFF","Fri",""),
IF(G22="OFF","Sat",""),
IF(H22="OFF","Sun",""))</f>
        <v>Thu - Fri - Sun</v>
      </c>
      <c r="J22" s="15">
        <f>MOD('EST24'!J37+TIME(12,0,0),1)</f>
        <v>0.125</v>
      </c>
      <c r="K22" s="15">
        <f>MOD('EST24'!K37+TIME(12,0,0),1)</f>
        <v>0.375</v>
      </c>
      <c r="L22" s="15">
        <f>MOD('EST24'!L37+TIME(12,0,0),1)</f>
        <v>0.25</v>
      </c>
      <c r="M22" s="15">
        <f>MOD('EST24'!M37+TIME(12,0,0),1)</f>
        <v>0.47916666666666652</v>
      </c>
      <c r="N22" t="str">
        <f>'EST24'!N37</f>
        <v>Manilyn Abellar</v>
      </c>
      <c r="O22" t="s">
        <v>63</v>
      </c>
      <c r="P22">
        <f>IF(
TIMEVALUE(LEFT(O22,FIND("-",O22)-1))&gt;=12/24,
0,
1
)</f>
        <v>0</v>
      </c>
    </row>
    <row r="23" spans="1:16" x14ac:dyDescent="0.25">
      <c r="A23" t="str">
        <f>Table2[[#This Row],[Name]]</f>
        <v>Giselle Florendo</v>
      </c>
      <c r="B2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2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2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2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2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3" t="str">
        <f>_xlfn.TEXTJOIN(" - ",TRUE,
IF(B23="OFF","Mon",""),
IF(C23="OFF","Tue",""),
IF(D23="OFF","Wed",""),
IF(E23="OFF","Thu",""),
IF(F23="OFF","Fri",""),
IF(G23="OFF","Sat",""),
IF(H23="OFF","Sun",""))</f>
        <v>Fri - Sat - Sun</v>
      </c>
      <c r="J23" s="15">
        <f>MOD('EST24'!J59+TIME(12,0,0),1)</f>
        <v>0.55208333333333337</v>
      </c>
      <c r="K23" s="15">
        <f>MOD('EST24'!K59+TIME(12,0,0),1)</f>
        <v>0.77083333333333326</v>
      </c>
      <c r="L23" s="15">
        <f>MOD('EST24'!L59+TIME(12,0,0),1)</f>
        <v>0.64583333333333337</v>
      </c>
      <c r="M23" s="15">
        <f>MOD('EST24'!M59+TIME(12,0,0),1)</f>
        <v>0.86458333333333326</v>
      </c>
      <c r="N23" t="str">
        <f>'EST24'!N59</f>
        <v>Anmecha Valencia</v>
      </c>
      <c r="O23" t="s">
        <v>52</v>
      </c>
      <c r="P23">
        <f>IF(
TIMEVALUE(LEFT(O23,FIND("-",O23)-1))&gt;=12/24,
0,
1
)</f>
        <v>0</v>
      </c>
    </row>
    <row r="24" spans="1:16" x14ac:dyDescent="0.25">
      <c r="A24" t="str">
        <f>Table2[[#This Row],[Name]]</f>
        <v>Jackyleen Caballero</v>
      </c>
      <c r="B2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2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2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2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24" t="str">
        <f>_xlfn.TEXTJOIN(" - ",TRUE,
IF(B24="OFF","Mon",""),
IF(C24="OFF","Tue",""),
IF(D24="OFF","Wed",""),
IF(E24="OFF","Thu",""),
IF(F24="OFF","Fri",""),
IF(G24="OFF","Sat",""),
IF(H24="OFF","Sun",""))</f>
        <v>Thu - Fri - Sat</v>
      </c>
      <c r="J24" s="15">
        <f>MOD('EST24'!J24+TIME(12,0,0),1)</f>
        <v>0.80208333333333326</v>
      </c>
      <c r="K24" s="15">
        <f>MOD('EST24'!K24+TIME(12,0,0),1)</f>
        <v>4.1666666666666519E-2</v>
      </c>
      <c r="L24" s="15">
        <f>MOD('EST24'!L24+TIME(12,0,0),1)</f>
        <v>0.91666666666666674</v>
      </c>
      <c r="M24" s="15">
        <f>MOD('EST24'!M24+TIME(12,0,0),1)</f>
        <v>0.14583333333333348</v>
      </c>
      <c r="N24" t="str">
        <f>'EST24'!N24</f>
        <v>Christopher Rodas</v>
      </c>
      <c r="O24" t="s">
        <v>112</v>
      </c>
      <c r="P24">
        <f>IF(
TIMEVALUE(LEFT(O24,FIND("-",O24)-1))&gt;=12/24,
0,
1
)</f>
        <v>0</v>
      </c>
    </row>
    <row r="25" spans="1:16" x14ac:dyDescent="0.25">
      <c r="A25" t="str">
        <f>Table2[[#This Row],[Name]]</f>
        <v>James Kim Malatag</v>
      </c>
      <c r="B2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2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2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2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2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5" t="str">
        <f>_xlfn.TEXTJOIN(" - ",TRUE,
IF(B25="OFF","Mon",""),
IF(C25="OFF","Tue",""),
IF(D25="OFF","Wed",""),
IF(E25="OFF","Thu",""),
IF(F25="OFF","Fri",""),
IF(G25="OFF","Sat",""),
IF(H25="OFF","Sun",""))</f>
        <v>Fri - Sat - Sun</v>
      </c>
      <c r="J25" s="15">
        <f>MOD('EST24'!J5+TIME(12,0,0),1)</f>
        <v>0.88541666666666674</v>
      </c>
      <c r="K25" s="15">
        <f>MOD('EST24'!K5+TIME(12,0,0),1)</f>
        <v>0.11458333333333348</v>
      </c>
      <c r="L25" s="15">
        <f>MOD('EST24'!L5+TIME(12,0,0),1)</f>
        <v>0.96875</v>
      </c>
      <c r="M25" s="15">
        <f>MOD('EST24'!M5+TIME(12,0,0),1)</f>
        <v>0.21875</v>
      </c>
      <c r="N25" t="str">
        <f>'EST24'!N5</f>
        <v>Manilyn Abellar</v>
      </c>
      <c r="O25" t="s">
        <v>136</v>
      </c>
      <c r="P25">
        <f>IF(
TIMEVALUE(LEFT(O25,FIND("-",O25)-1))&gt;=12/24,
0,
1
)</f>
        <v>0</v>
      </c>
    </row>
    <row r="26" spans="1:16" x14ac:dyDescent="0.25">
      <c r="A26" t="str">
        <f>Table2[[#This Row],[Name]]</f>
        <v>James Matthew Santos</v>
      </c>
      <c r="B2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6" t="str">
        <f>_xlfn.TEXTJOIN(" - ",TRUE,
IF(B26="OFF","Mon",""),
IF(C26="OFF","Tue",""),
IF(D26="OFF","Wed",""),
IF(E26="OFF","Thu",""),
IF(F26="OFF","Fri",""),
IF(G26="OFF","Sat",""),
IF(H26="OFF","Sun",""))</f>
        <v>Wed - Sat - Sun</v>
      </c>
      <c r="J26" s="15">
        <f>MOD('EST24'!J13+TIME(12,0,0),1)</f>
        <v>0.89583333333333326</v>
      </c>
      <c r="K26" s="15">
        <f>MOD('EST24'!K13+TIME(12,0,0),1)</f>
        <v>0.10416666666666652</v>
      </c>
      <c r="L26" s="15">
        <f>MOD('EST24'!L13+TIME(12,0,0),1)</f>
        <v>0.97916666666666674</v>
      </c>
      <c r="M26" s="15">
        <f>MOD('EST24'!M13+TIME(12,0,0),1)</f>
        <v>0.22916666666666652</v>
      </c>
      <c r="N26" t="str">
        <f>'EST24'!N13</f>
        <v>Christopher Rodas</v>
      </c>
      <c r="O26" t="s">
        <v>136</v>
      </c>
      <c r="P26">
        <f>IF(
TIMEVALUE(LEFT(O26,FIND("-",O26)-1))&gt;=12/24,
0,
1
)</f>
        <v>0</v>
      </c>
    </row>
    <row r="27" spans="1:16" x14ac:dyDescent="0.25">
      <c r="A27" t="str">
        <f>Table2[[#This Row],[Name]]</f>
        <v>Jayson Pescadero</v>
      </c>
      <c r="B2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2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2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2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2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7" t="str">
        <f>_xlfn.TEXTJOIN(" - ",TRUE,
IF(B27="OFF","Mon",""),
IF(C27="OFF","Tue",""),
IF(D27="OFF","Wed",""),
IF(E27="OFF","Thu",""),
IF(F27="OFF","Fri",""),
IF(G27="OFF","Sat",""),
IF(H27="OFF","Sun",""))</f>
        <v>Fri - Sat - Sun</v>
      </c>
      <c r="J27" s="15">
        <f>MOD('EST24'!J16+TIME(12,0,0),1)</f>
        <v>0.97916666666666674</v>
      </c>
      <c r="K27" s="15">
        <f>MOD('EST24'!K16+TIME(12,0,0),1)</f>
        <v>0.22916666666666652</v>
      </c>
      <c r="L27" s="15">
        <f>MOD('EST24'!L16+TIME(12,0,0),1)</f>
        <v>0.10416666666666652</v>
      </c>
      <c r="M27" s="15">
        <f>MOD('EST24'!M16+TIME(12,0,0),1)</f>
        <v>0.30208333333333348</v>
      </c>
      <c r="N27" t="str">
        <f>'EST24'!N16</f>
        <v>Manilyn Abellar</v>
      </c>
      <c r="O27" t="s">
        <v>32</v>
      </c>
      <c r="P27">
        <f>IF(
TIMEVALUE(LEFT(O27,FIND("-",O27)-1))&gt;=12/24,
0,
1
)</f>
        <v>0</v>
      </c>
    </row>
    <row r="28" spans="1:16" x14ac:dyDescent="0.25">
      <c r="A28" t="str">
        <f>Table2[[#This Row],[Name]]</f>
        <v>Jeffryl Joe Pardillo</v>
      </c>
      <c r="B2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14:00 - 01:00</v>
      </c>
      <c r="C2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14:00 - 01:00</v>
      </c>
      <c r="D2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14:00 - 01:00</v>
      </c>
      <c r="E2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14:00 - 01:00</v>
      </c>
      <c r="I28" t="str">
        <f>_xlfn.TEXTJOIN(" - ",TRUE,
IF(B28="OFF","Mon",""),
IF(C28="OFF","Tue",""),
IF(D28="OFF","Wed",""),
IF(E28="OFF","Thu",""),
IF(F28="OFF","Fri",""),
IF(G28="OFF","Sat",""),
IF(H28="OFF","Sun",""))</f>
        <v>Thu - Fri - Sat</v>
      </c>
      <c r="J28" s="15">
        <f>MOD('EST24'!J20+TIME(12,0,0),1)</f>
        <v>0.98958333333333326</v>
      </c>
      <c r="K28" s="15">
        <f>MOD('EST24'!K20+TIME(12,0,0),1)</f>
        <v>7.2916666666666519E-2</v>
      </c>
      <c r="L28" s="15">
        <f>MOD('EST24'!L20+TIME(12,0,0),1)</f>
        <v>0.16666666666666652</v>
      </c>
      <c r="M28" s="15">
        <f>MOD('EST24'!M20+TIME(12,0,0),1)</f>
        <v>0.25</v>
      </c>
      <c r="N28" t="str">
        <f>'EST24'!N20</f>
        <v>Anmecha Valencia</v>
      </c>
      <c r="O28" t="s">
        <v>32</v>
      </c>
      <c r="P28">
        <f>IF(
TIMEVALUE(LEFT(O28,FIND("-",O28)-1))&gt;=12/24,
0,
1
)</f>
        <v>0</v>
      </c>
    </row>
    <row r="29" spans="1:16" x14ac:dyDescent="0.25">
      <c r="A29" t="str">
        <f>Table2[[#This Row],[Name]]</f>
        <v>Jesse Owen Rama</v>
      </c>
      <c r="B2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2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2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2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2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10:00 - 21:00</v>
      </c>
      <c r="H2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9" t="str">
        <f>_xlfn.TEXTJOIN(" - ",TRUE,
IF(B29="OFF","Mon",""),
IF(C29="OFF","Tue",""),
IF(D29="OFF","Wed",""),
IF(E29="OFF","Thu",""),
IF(F29="OFF","Fri",""),
IF(G29="OFF","Sat",""),
IF(H29="OFF","Sun",""))</f>
        <v>Mon - Thu - Sun</v>
      </c>
      <c r="J29" s="15">
        <f>MOD('EST24'!J25+TIME(12,0,0),1)</f>
        <v>1.0416666666666519E-2</v>
      </c>
      <c r="K29" s="15">
        <f>MOD('EST24'!K25+TIME(12,0,0),1)</f>
        <v>9.375E-2</v>
      </c>
      <c r="L29" s="15">
        <f>MOD('EST24'!L25+TIME(12,0,0),1)</f>
        <v>0.1875</v>
      </c>
      <c r="M29" s="15">
        <f>MOD('EST24'!M25+TIME(12,0,0),1)</f>
        <v>0.3125</v>
      </c>
      <c r="N29" t="str">
        <f>'EST24'!N25</f>
        <v>Michael Dominguez</v>
      </c>
      <c r="O29" t="s">
        <v>32</v>
      </c>
      <c r="P29">
        <f>IF(
TIMEVALUE(LEFT(O29,FIND("-",O29)-1))&gt;=12/24,
0,
1
)</f>
        <v>0</v>
      </c>
    </row>
    <row r="30" spans="1:16" x14ac:dyDescent="0.25">
      <c r="A30" t="str">
        <f>Table2[[#This Row],[Name]]</f>
        <v>Jeycel Roxas</v>
      </c>
      <c r="B3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3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3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3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3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0" t="str">
        <f>_xlfn.TEXTJOIN(" - ",TRUE,
IF(B30="OFF","Mon",""),
IF(C30="OFF","Tue",""),
IF(D30="OFF","Wed",""),
IF(E30="OFF","Thu",""),
IF(F30="OFF","Fri",""),
IF(G30="OFF","Sat",""),
IF(H30="OFF","Sun",""))</f>
        <v>Tue - Sat - Sun</v>
      </c>
      <c r="J30" s="15">
        <f>MOD('EST24'!J29+TIME(12,0,0),1)</f>
        <v>0.66666666666666663</v>
      </c>
      <c r="K30" s="15">
        <f>MOD('EST24'!K29+TIME(12,0,0),1)</f>
        <v>0.76041666666666674</v>
      </c>
      <c r="L30" s="15">
        <f>MOD('EST24'!L29+TIME(12,0,0),1)</f>
        <v>0.54166666666666663</v>
      </c>
      <c r="M30" s="15">
        <f>MOD('EST24'!M29+TIME(12,0,0),1)</f>
        <v>0.83333333333333326</v>
      </c>
      <c r="N30" t="str">
        <f>'EST24'!N29</f>
        <v>Manilyn Abellar</v>
      </c>
      <c r="O30" t="s">
        <v>32</v>
      </c>
      <c r="P30">
        <f>IF(
TIMEVALUE(LEFT(O30,FIND("-",O30)-1))&gt;=12/24,
0,
1
)</f>
        <v>0</v>
      </c>
    </row>
    <row r="31" spans="1:16" x14ac:dyDescent="0.25">
      <c r="A31" t="str">
        <f>Table2[[#This Row],[Name]]</f>
        <v>Jhanelle Jane Didato</v>
      </c>
      <c r="B3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00:00 - 11:00</v>
      </c>
      <c r="F3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00:00 - 11:00</v>
      </c>
      <c r="G3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00:00 - 11:00</v>
      </c>
      <c r="H3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00:00 - 11:00</v>
      </c>
      <c r="I31" t="str">
        <f>_xlfn.TEXTJOIN(" - ",TRUE,
IF(B31="OFF","Mon",""),
IF(C31="OFF","Tue",""),
IF(D31="OFF","Wed",""),
IF(E31="OFF","Thu",""),
IF(F31="OFF","Fri",""),
IF(G31="OFF","Sat",""),
IF(H31="OFF","Sun",""))</f>
        <v>Mon - Tue - Wed</v>
      </c>
      <c r="J31" s="15">
        <f>MOD('EST24'!J39+TIME(12,0,0),1)</f>
        <v>0.95833333333333326</v>
      </c>
      <c r="K31" s="15">
        <f>MOD('EST24'!K39+TIME(12,0,0),1)</f>
        <v>5.2083333333333481E-2</v>
      </c>
      <c r="L31" s="15">
        <f>MOD('EST24'!L39+TIME(12,0,0),1)</f>
        <v>0.125</v>
      </c>
      <c r="M31" s="15">
        <f>MOD('EST24'!M39+TIME(12,0,0),1)</f>
        <v>0.27083333333333348</v>
      </c>
      <c r="N31" t="str">
        <f>'EST24'!N39</f>
        <v>Anmecha Valencia</v>
      </c>
      <c r="O31" t="s">
        <v>32</v>
      </c>
      <c r="P31">
        <f>IF(
TIMEVALUE(LEFT(O31,FIND("-",O31)-1))&gt;=12/24,
0,
1
)</f>
        <v>0</v>
      </c>
    </row>
    <row r="32" spans="1:16" x14ac:dyDescent="0.25">
      <c r="A32" t="str">
        <f>Table2[[#This Row],[Name]]</f>
        <v>Jhonrey Jotojot</v>
      </c>
      <c r="B3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3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3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3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17:00 - 04:00</v>
      </c>
      <c r="G3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2" t="str">
        <f>_xlfn.TEXTJOIN(" - ",TRUE,
IF(B32="OFF","Mon",""),
IF(C32="OFF","Tue",""),
IF(D32="OFF","Wed",""),
IF(E32="OFF","Thu",""),
IF(F32="OFF","Fri",""),
IF(G32="OFF","Sat",""),
IF(H32="OFF","Sun",""))</f>
        <v>Mon - Sat - Sun</v>
      </c>
      <c r="J32" s="15">
        <f>MOD('EST24'!J32+TIME(12,0,0),1)</f>
        <v>0.80208333333333326</v>
      </c>
      <c r="K32" s="15">
        <f>MOD('EST24'!K32+TIME(12,0,0),1)</f>
        <v>0.96875</v>
      </c>
      <c r="L32" s="15">
        <f>MOD('EST24'!L32+TIME(12,0,0),1)</f>
        <v>0.88541666666666674</v>
      </c>
      <c r="M32" s="15">
        <f>MOD('EST24'!M32+TIME(12,0,0),1)</f>
        <v>8.3333333333333481E-2</v>
      </c>
      <c r="N32" t="str">
        <f>'EST24'!N32</f>
        <v>Manilyn Abellar</v>
      </c>
      <c r="O32" t="s">
        <v>36</v>
      </c>
      <c r="P32">
        <f>IF(
TIMEVALUE(LEFT(O32,FIND("-",O32)-1))&gt;=12/24,
0,
1
)</f>
        <v>1</v>
      </c>
    </row>
    <row r="33" spans="1:16" x14ac:dyDescent="0.25">
      <c r="A33" t="str">
        <f>Table2[[#This Row],[Name]]</f>
        <v>Jieleen Villegas</v>
      </c>
      <c r="B3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09:00 - 20:00</v>
      </c>
      <c r="E3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09:00 - 20:00</v>
      </c>
      <c r="I33" t="str">
        <f>_xlfn.TEXTJOIN(" - ",TRUE,
IF(B33="OFF","Mon",""),
IF(C33="OFF","Tue",""),
IF(D33="OFF","Wed",""),
IF(E33="OFF","Thu",""),
IF(F33="OFF","Fri",""),
IF(G33="OFF","Sat",""),
IF(H33="OFF","Sun",""))</f>
        <v>Thu - Fri - Sat</v>
      </c>
      <c r="J33" s="15">
        <f>MOD('EST24'!J33+TIME(12,0,0),1)</f>
        <v>0.45833333333333348</v>
      </c>
      <c r="K33" s="15">
        <f>MOD('EST24'!K33+TIME(12,0,0),1)</f>
        <v>0.5625</v>
      </c>
      <c r="L33" s="15">
        <f>MOD('EST24'!L33+TIME(12,0,0),1)</f>
        <v>0.66666666666666663</v>
      </c>
      <c r="M33" s="15">
        <f>MOD('EST24'!M33+TIME(12,0,0),1)</f>
        <v>0.79166666666666674</v>
      </c>
      <c r="N33" t="str">
        <f>'EST24'!N33</f>
        <v>Anmecha Valencia</v>
      </c>
      <c r="O33" t="s">
        <v>79</v>
      </c>
      <c r="P33">
        <f>IF(
TIMEVALUE(LEFT(O33,FIND("-",O33)-1))&gt;=12/24,
0,
1
)</f>
        <v>0</v>
      </c>
    </row>
    <row r="34" spans="1:16" x14ac:dyDescent="0.25">
      <c r="A34" t="str">
        <f>Table2[[#This Row],[Name]]</f>
        <v>Joanah Carl Anoling</v>
      </c>
      <c r="B3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12:00 - 23:00</v>
      </c>
      <c r="E3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12:00 - 23:00</v>
      </c>
      <c r="F3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12:00 - 23:00</v>
      </c>
      <c r="G3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3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4" t="str">
        <f>_xlfn.TEXTJOIN(" - ",TRUE,
IF(B34="OFF","Mon",""),
IF(C34="OFF","Tue",""),
IF(D34="OFF","Wed",""),
IF(E34="OFF","Thu",""),
IF(F34="OFF","Fri",""),
IF(G34="OFF","Sat",""),
IF(H34="OFF","Sun",""))</f>
        <v>Mon - Tue - Sun</v>
      </c>
      <c r="J34" s="15">
        <f>MOD('EST24'!J41+TIME(12,0,0),1)</f>
        <v>0.55208333333333337</v>
      </c>
      <c r="K34" s="15">
        <f>MOD('EST24'!K41+TIME(12,0,0),1)</f>
        <v>0.77083333333333326</v>
      </c>
      <c r="L34" s="15">
        <f>MOD('EST24'!L41+TIME(12,0,0),1)</f>
        <v>0.625</v>
      </c>
      <c r="M34" s="15">
        <f>MOD('EST24'!M41+TIME(12,0,0),1)</f>
        <v>0.85416666666666674</v>
      </c>
      <c r="N34" t="str">
        <f>'EST24'!N41</f>
        <v>Christopher Rodas</v>
      </c>
      <c r="O34" t="s">
        <v>32</v>
      </c>
      <c r="P34">
        <f>IF(
TIMEVALUE(LEFT(O34,FIND("-",O34)-1))&gt;=12/24,
0,
1
)</f>
        <v>0</v>
      </c>
    </row>
    <row r="35" spans="1:16" x14ac:dyDescent="0.25">
      <c r="A35" t="str">
        <f>Table2[[#This Row],[Name]]</f>
        <v>Joemie Ann Benedicto</v>
      </c>
      <c r="B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5" t="str">
        <f>_xlfn.TEXTJOIN(" - ",TRUE,
IF(B35="OFF","Mon",""),
IF(C35="OFF","Tue",""),
IF(D35="OFF","Wed",""),
IF(E35="OFF","Thu",""),
IF(F35="OFF","Fri",""),
IF(G35="OFF","Sat",""),
IF(H35="OFF","Sun",""))</f>
        <v>Fri - Sat - Sun</v>
      </c>
      <c r="J35" s="15">
        <f>MOD('EST24'!J8+TIME(12,0,0),1)</f>
        <v>0.97916666666666674</v>
      </c>
      <c r="K35" s="15">
        <f>MOD('EST24'!K8+TIME(12,0,0),1)</f>
        <v>0.125</v>
      </c>
      <c r="L35" s="15">
        <f>MOD('EST24'!L8+TIME(12,0,0),1)</f>
        <v>5.2083333333333481E-2</v>
      </c>
      <c r="M35" s="15">
        <f>MOD('EST24'!M8+TIME(12,0,0),1)</f>
        <v>0.27083333333333348</v>
      </c>
      <c r="N35" t="str">
        <f>'EST24'!N8</f>
        <v>Michael Dominguez</v>
      </c>
      <c r="O35" t="s">
        <v>82</v>
      </c>
      <c r="P35">
        <f>IF(
TIMEVALUE(LEFT(O35,FIND("-",O35)-1))&gt;=12/24,
0,
1
)</f>
        <v>0</v>
      </c>
    </row>
    <row r="36" spans="1:16" x14ac:dyDescent="0.25">
      <c r="A36" t="str">
        <f>Table2[[#This Row],[Name]]</f>
        <v>Joseph Brian Nagor</v>
      </c>
      <c r="B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09:00 - 20:00</v>
      </c>
      <c r="G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09:00 - 20:00</v>
      </c>
      <c r="H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6" t="str">
        <f>_xlfn.TEXTJOIN(" - ",TRUE,
IF(B36="OFF","Mon",""),
IF(C36="OFF","Tue",""),
IF(D36="OFF","Wed",""),
IF(E36="OFF","Thu",""),
IF(F36="OFF","Fri",""),
IF(G36="OFF","Sat",""),
IF(H36="OFF","Sun",""))</f>
        <v>Wed - Thu - Sun</v>
      </c>
      <c r="J36" s="15">
        <f>MOD('EST24'!J36+TIME(12,0,0),1)</f>
        <v>0.625</v>
      </c>
      <c r="K36" s="15">
        <f>MOD('EST24'!K36+TIME(12,0,0),1)</f>
        <v>0.71875</v>
      </c>
      <c r="L36" s="15">
        <f>MOD('EST24'!L36+TIME(12,0,0),1)</f>
        <v>0.5</v>
      </c>
      <c r="M36" s="15">
        <f>MOD('EST24'!M36+TIME(12,0,0),1)</f>
        <v>0.79166666666666674</v>
      </c>
      <c r="N36" t="str">
        <f>'EST24'!N36</f>
        <v>Remmo Panaligan</v>
      </c>
      <c r="O36" t="s">
        <v>17</v>
      </c>
      <c r="P36">
        <f>IF(
TIMEVALUE(LEFT(O36,FIND("-",O36)-1))&gt;=12/24,
0,
1
)</f>
        <v>1</v>
      </c>
    </row>
    <row r="37" spans="1:16" x14ac:dyDescent="0.25">
      <c r="A37" t="str">
        <f>Table2[[#This Row],[Name]]</f>
        <v>Josephraim Lamoste</v>
      </c>
      <c r="B3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3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7" t="str">
        <f>_xlfn.TEXTJOIN(" - ",TRUE,
IF(B37="OFF","Mon",""),
IF(C37="OFF","Tue",""),
IF(D37="OFF","Wed",""),
IF(E37="OFF","Thu",""),
IF(F37="OFF","Fri",""),
IF(G37="OFF","Sat",""),
IF(H37="OFF","Sun",""))</f>
        <v>Mon - Sat - Sun</v>
      </c>
      <c r="J37" s="15">
        <f>MOD('EST24'!J9+TIME(12,0,0),1)</f>
        <v>8.3333333333333481E-2</v>
      </c>
      <c r="K37" s="15">
        <f>MOD('EST24'!K9+TIME(12,0,0),1)</f>
        <v>0.17708333333333348</v>
      </c>
      <c r="L37" s="15">
        <f>MOD('EST24'!L9+TIME(12,0,0),1)</f>
        <v>0.95833333333333326</v>
      </c>
      <c r="M37" s="15">
        <f>MOD('EST24'!M9+TIME(12,0,0),1)</f>
        <v>0.27083333333333348</v>
      </c>
      <c r="N37" t="str">
        <f>'EST24'!N9</f>
        <v>Christopher Rodas</v>
      </c>
      <c r="O37" t="s">
        <v>82</v>
      </c>
      <c r="P37">
        <f>IF(
TIMEVALUE(LEFT(O37,FIND("-",O37)-1))&gt;=12/24,
0,
1
)</f>
        <v>0</v>
      </c>
    </row>
    <row r="38" spans="1:16" x14ac:dyDescent="0.25">
      <c r="A38" t="str">
        <f>Table2[[#This Row],[Name]]</f>
        <v>Joshua Bagaporo</v>
      </c>
      <c r="B3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18:00 - 05:00</v>
      </c>
      <c r="G3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18:00 - 05:00</v>
      </c>
      <c r="H3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8" t="str">
        <f>_xlfn.TEXTJOIN(" - ",TRUE,
IF(B38="OFF","Mon",""),
IF(C38="OFF","Tue",""),
IF(D38="OFF","Wed",""),
IF(E38="OFF","Thu",""),
IF(F38="OFF","Fri",""),
IF(G38="OFF","Sat",""),
IF(H38="OFF","Sun",""))</f>
        <v>Mon - Tue - Sun</v>
      </c>
      <c r="J38" s="15">
        <f>MOD('EST24'!J12+TIME(12,0,0),1)</f>
        <v>0.95833333333333326</v>
      </c>
      <c r="K38" s="15">
        <f>MOD('EST24'!K12+TIME(12,0,0),1)</f>
        <v>4.1666666666666519E-2</v>
      </c>
      <c r="L38" s="15">
        <f>MOD('EST24'!L12+TIME(12,0,0),1)</f>
        <v>0.14583333333333348</v>
      </c>
      <c r="M38" s="15">
        <f>MOD('EST24'!M12+TIME(12,0,0),1)</f>
        <v>0.26041666666666652</v>
      </c>
      <c r="N38" t="str">
        <f>'EST24'!N12</f>
        <v>Michael Dominguez</v>
      </c>
      <c r="O38" t="s">
        <v>82</v>
      </c>
      <c r="P38">
        <f>IF(
TIMEVALUE(LEFT(O38,FIND("-",O38)-1))&gt;=12/24,
0,
1
)</f>
        <v>0</v>
      </c>
    </row>
    <row r="39" spans="1:16" x14ac:dyDescent="0.25">
      <c r="A39" t="str">
        <f>Table2[[#This Row],[Name]]</f>
        <v>Joshua Mendoza</v>
      </c>
      <c r="B3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3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3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3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3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9" t="str">
        <f>_xlfn.TEXTJOIN(" - ",TRUE,
IF(B39="OFF","Mon",""),
IF(C39="OFF","Tue",""),
IF(D39="OFF","Wed",""),
IF(E39="OFF","Thu",""),
IF(F39="OFF","Fri",""),
IF(G39="OFF","Sat",""),
IF(H39="OFF","Sun",""))</f>
        <v>Thu - Sat - Sun</v>
      </c>
      <c r="J39" s="15">
        <f>MOD('EST24'!J18+TIME(12,0,0),1)</f>
        <v>4.1666666666666519E-2</v>
      </c>
      <c r="K39" s="15">
        <f>MOD('EST24'!K18+TIME(12,0,0),1)</f>
        <v>0.13541666666666652</v>
      </c>
      <c r="L39" s="15">
        <f>MOD('EST24'!L18+TIME(12,0,0),1)</f>
        <v>0.22916666666666652</v>
      </c>
      <c r="M39" s="15">
        <f>MOD('EST24'!M18+TIME(12,0,0),1)</f>
        <v>0.35416666666666652</v>
      </c>
      <c r="N39" t="str">
        <f>'EST24'!N18</f>
        <v>Anmecha Valencia</v>
      </c>
      <c r="O39" t="s">
        <v>82</v>
      </c>
      <c r="P39">
        <f>IF(
TIMEVALUE(LEFT(O39,FIND("-",O39)-1))&gt;=12/24,
0,
1
)</f>
        <v>0</v>
      </c>
    </row>
    <row r="40" spans="1:16" x14ac:dyDescent="0.25">
      <c r="A40" t="str">
        <f>Table2[[#This Row],[Name]]</f>
        <v>Juvy Labong</v>
      </c>
      <c r="B4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0" t="str">
        <f>_xlfn.TEXTJOIN(" - ",TRUE,
IF(B40="OFF","Mon",""),
IF(C40="OFF","Tue",""),
IF(D40="OFF","Wed",""),
IF(E40="OFF","Thu",""),
IF(F40="OFF","Fri",""),
IF(G40="OFF","Sat",""),
IF(H40="OFF","Sun",""))</f>
        <v>Tue - Sat - Sun</v>
      </c>
      <c r="J40" s="15">
        <f>MOD('EST24'!J19+TIME(12,0,0),1)</f>
        <v>0.95833333333333326</v>
      </c>
      <c r="K40" s="15">
        <f>MOD('EST24'!K19+TIME(12,0,0),1)</f>
        <v>7.2916666666666519E-2</v>
      </c>
      <c r="L40" s="15">
        <f>MOD('EST24'!L19+TIME(12,0,0),1)</f>
        <v>0.14583333333333348</v>
      </c>
      <c r="M40" s="15">
        <f>MOD('EST24'!M19+TIME(12,0,0),1)</f>
        <v>0.27083333333333348</v>
      </c>
      <c r="N40" t="str">
        <f>'EST24'!N19</f>
        <v>Anmecha Valencia</v>
      </c>
      <c r="O40" t="s">
        <v>82</v>
      </c>
      <c r="P40">
        <f>IF(
TIMEVALUE(LEFT(O40,FIND("-",O40)-1))&gt;=12/24,
0,
1
)</f>
        <v>0</v>
      </c>
    </row>
    <row r="41" spans="1:16" x14ac:dyDescent="0.25">
      <c r="A41" t="str">
        <f>Table2[[#This Row],[Name]]</f>
        <v>Kathleen Melecio</v>
      </c>
      <c r="B4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10:30 - 21:30</v>
      </c>
      <c r="D4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10:30 - 21:30</v>
      </c>
      <c r="E4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10:30 - 21:30</v>
      </c>
      <c r="F4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10:30 - 21:30</v>
      </c>
      <c r="I41" t="str">
        <f>_xlfn.TEXTJOIN(" - ",TRUE,
IF(B41="OFF","Mon",""),
IF(C41="OFF","Tue",""),
IF(D41="OFF","Wed",""),
IF(E41="OFF","Thu",""),
IF(F41="OFF","Fri",""),
IF(G41="OFF","Sat",""),
IF(H41="OFF","Sun",""))</f>
        <v>Mon - Fri - Sat</v>
      </c>
      <c r="J41" s="15">
        <f>MOD('EST24'!J38+TIME(12,0,0),1)</f>
        <v>0.84375</v>
      </c>
      <c r="K41" s="15">
        <f>MOD('EST24'!K38+TIME(12,0,0),1)</f>
        <v>3.125E-2</v>
      </c>
      <c r="L41" s="15">
        <f>MOD('EST24'!L38+TIME(12,0,0),1)</f>
        <v>0.91666666666666674</v>
      </c>
      <c r="M41" s="15">
        <f>MOD('EST24'!M38+TIME(12,0,0),1)</f>
        <v>0.125</v>
      </c>
      <c r="N41" t="str">
        <f>'EST24'!N38</f>
        <v>Christopher Rodas</v>
      </c>
      <c r="O41" t="s">
        <v>82</v>
      </c>
      <c r="P41">
        <f>IF(
TIMEVALUE(LEFT(O41,FIND("-",O41)-1))&gt;=12/24,
0,
1
)</f>
        <v>0</v>
      </c>
    </row>
    <row r="42" spans="1:16" x14ac:dyDescent="0.25">
      <c r="A42" t="str">
        <f>Table2[[#This Row],[Name]]</f>
        <v>Kenneth Oribello</v>
      </c>
      <c r="B4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2" t="str">
        <f>_xlfn.TEXTJOIN(" - ",TRUE,
IF(B42="OFF","Mon",""),
IF(C42="OFF","Tue",""),
IF(D42="OFF","Wed",""),
IF(E42="OFF","Thu",""),
IF(F42="OFF","Fri",""),
IF(G42="OFF","Sat",""),
IF(H42="OFF","Sun",""))</f>
        <v>Wed - Sat - Sun</v>
      </c>
      <c r="J42" s="15">
        <f>MOD('EST24'!J42+TIME(12,0,0),1)</f>
        <v>0.9375</v>
      </c>
      <c r="K42" s="15">
        <f>MOD('EST24'!K42+TIME(12,0,0),1)</f>
        <v>0.1875</v>
      </c>
      <c r="L42" s="15">
        <f>MOD('EST24'!L42+TIME(12,0,0),1)</f>
        <v>6.25E-2</v>
      </c>
      <c r="M42" s="15">
        <f>MOD('EST24'!M42+TIME(12,0,0),1)</f>
        <v>0.25</v>
      </c>
      <c r="N42" t="str">
        <f>'EST24'!N42</f>
        <v>Michael Dominguez</v>
      </c>
      <c r="O42" t="s">
        <v>68</v>
      </c>
      <c r="P42">
        <f>IF(
TIMEVALUE(LEFT(O42,FIND("-",O42)-1))&gt;=12/24,
0,
1
)</f>
        <v>1</v>
      </c>
    </row>
    <row r="43" spans="1:16" x14ac:dyDescent="0.25">
      <c r="A43" t="str">
        <f>Table2[[#This Row],[Name]]</f>
        <v>Kirby Santos</v>
      </c>
      <c r="B4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4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4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4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05:00 - 16:00</v>
      </c>
      <c r="H4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3" t="str">
        <f>_xlfn.TEXTJOIN(" - ",TRUE,
IF(B43="OFF","Mon",""),
IF(C43="OFF","Tue",""),
IF(D43="OFF","Wed",""),
IF(E43="OFF","Thu",""),
IF(F43="OFF","Fri",""),
IF(G43="OFF","Sat",""),
IF(H43="OFF","Sun",""))</f>
        <v>Mon - Tue - Sun</v>
      </c>
      <c r="J43" s="15">
        <f>MOD('EST24'!J43+TIME(12,0,0),1)</f>
        <v>0.3125</v>
      </c>
      <c r="K43" s="15">
        <f>MOD('EST24'!K43+TIME(12,0,0),1)</f>
        <v>0.5</v>
      </c>
      <c r="L43" s="15">
        <f>MOD('EST24'!L43+TIME(12,0,0),1)</f>
        <v>0.40625</v>
      </c>
      <c r="M43" s="15">
        <f>MOD('EST24'!M43+TIME(12,0,0),1)</f>
        <v>0.60416666666666663</v>
      </c>
      <c r="N43" t="str">
        <f>'EST24'!N43</f>
        <v>Manilyn Abellar</v>
      </c>
      <c r="O43" t="s">
        <v>32</v>
      </c>
      <c r="P43">
        <f>IF(
TIMEVALUE(LEFT(O43,FIND("-",O43)-1))&gt;=12/24,
0,
1
)</f>
        <v>0</v>
      </c>
    </row>
    <row r="44" spans="1:16" x14ac:dyDescent="0.25">
      <c r="A44" t="str">
        <f>Table2[[#This Row],[Name]]</f>
        <v>Lanz Jason Medallo</v>
      </c>
      <c r="B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4" t="str">
        <f>_xlfn.TEXTJOIN(" - ",TRUE,
IF(B44="OFF","Mon",""),
IF(C44="OFF","Tue",""),
IF(D44="OFF","Wed",""),
IF(E44="OFF","Thu",""),
IF(F44="OFF","Fri",""),
IF(G44="OFF","Sat",""),
IF(H44="OFF","Sun",""))</f>
        <v>Wed - Sat - Sun</v>
      </c>
      <c r="J44" s="15">
        <f>MOD('EST24'!J44+TIME(12,0,0),1)</f>
        <v>0.91666666666666674</v>
      </c>
      <c r="K44" s="15">
        <f>MOD('EST24'!K44+TIME(12,0,0),1)</f>
        <v>0.125</v>
      </c>
      <c r="L44" s="15">
        <f>MOD('EST24'!L44+TIME(12,0,0),1)</f>
        <v>0</v>
      </c>
      <c r="M44" s="15">
        <f>MOD('EST24'!M44+TIME(12,0,0),1)</f>
        <v>0.21875</v>
      </c>
      <c r="N44" t="str">
        <f>'EST24'!N44</f>
        <v>Remmo Panaligan</v>
      </c>
      <c r="O44" t="s">
        <v>82</v>
      </c>
      <c r="P44">
        <f>IF(
TIMEVALUE(LEFT(O44,FIND("-",O44)-1))&gt;=12/24,
0,
1
)</f>
        <v>0</v>
      </c>
    </row>
    <row r="45" spans="1:16" x14ac:dyDescent="0.25">
      <c r="A45" t="str">
        <f>Table2[[#This Row],[Name]]</f>
        <v>Lee Joseph Agbanlog</v>
      </c>
      <c r="B4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5" t="str">
        <f>_xlfn.TEXTJOIN(" - ",TRUE,
IF(B45="OFF","Mon",""),
IF(C45="OFF","Tue",""),
IF(D45="OFF","Wed",""),
IF(E45="OFF","Thu",""),
IF(F45="OFF","Fri",""),
IF(G45="OFF","Sat",""),
IF(H45="OFF","Sun",""))</f>
        <v>Wed - Sat - Sun</v>
      </c>
      <c r="J45" s="15">
        <f>MOD('EST24'!J45+TIME(12,0,0),1)</f>
        <v>0.98958333333333326</v>
      </c>
      <c r="K45" s="15">
        <f>MOD('EST24'!K45+TIME(12,0,0),1)</f>
        <v>0.19791666666666652</v>
      </c>
      <c r="L45" s="15">
        <f>MOD('EST24'!L45+TIME(12,0,0),1)</f>
        <v>7.2916666666666519E-2</v>
      </c>
      <c r="M45" s="15">
        <f>MOD('EST24'!M45+TIME(12,0,0),1)</f>
        <v>0.28125</v>
      </c>
      <c r="N45" t="str">
        <f>'EST24'!N45</f>
        <v>Michael Dominguez</v>
      </c>
      <c r="O45" t="s">
        <v>82</v>
      </c>
      <c r="P45">
        <f>IF(
TIMEVALUE(LEFT(O45,FIND("-",O45)-1))&gt;=12/24,
0,
1
)</f>
        <v>0</v>
      </c>
    </row>
    <row r="46" spans="1:16" x14ac:dyDescent="0.25">
      <c r="A46" t="str">
        <f>Table2[[#This Row],[Name]]</f>
        <v>Lovelyn Nicole Magcuyao</v>
      </c>
      <c r="B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6" t="str">
        <f>_xlfn.TEXTJOIN(" - ",TRUE,
IF(B46="OFF","Mon",""),
IF(C46="OFF","Tue",""),
IF(D46="OFF","Wed",""),
IF(E46="OFF","Thu",""),
IF(F46="OFF","Fri",""),
IF(G46="OFF","Sat",""),
IF(H46="OFF","Sun",""))</f>
        <v>Fri - Sat - Sun</v>
      </c>
      <c r="J46" s="15">
        <f>MOD('EST24'!J46+TIME(12,0,0),1)</f>
        <v>0.95833333333333326</v>
      </c>
      <c r="K46" s="15">
        <f>MOD('EST24'!K46+TIME(12,0,0),1)</f>
        <v>0.17708333333333348</v>
      </c>
      <c r="L46" s="15">
        <f>MOD('EST24'!L46+TIME(12,0,0),1)</f>
        <v>5.2083333333333481E-2</v>
      </c>
      <c r="M46" s="15">
        <f>MOD('EST24'!M46+TIME(12,0,0),1)</f>
        <v>0.27083333333333348</v>
      </c>
      <c r="N46" t="str">
        <f>'EST24'!N46</f>
        <v>Anmecha Valencia</v>
      </c>
      <c r="O46" t="s">
        <v>140</v>
      </c>
      <c r="P46">
        <f>IF(
TIMEVALUE(LEFT(O46,FIND("-",O46)-1))&gt;=12/24,
0,
1
)</f>
        <v>1</v>
      </c>
    </row>
    <row r="47" spans="1:16" x14ac:dyDescent="0.25">
      <c r="A47" t="str">
        <f>Table2[[#This Row],[Name]]</f>
        <v>Manueleth Nardo</v>
      </c>
      <c r="B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06:30 - 17:30</v>
      </c>
      <c r="F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06:30 - 17:30</v>
      </c>
      <c r="G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06:30 - 17:30</v>
      </c>
      <c r="H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06:30 - 17:30</v>
      </c>
      <c r="I47" t="str">
        <f>_xlfn.TEXTJOIN(" - ",TRUE,
IF(B47="OFF","Mon",""),
IF(C47="OFF","Tue",""),
IF(D47="OFF","Wed",""),
IF(E47="OFF","Thu",""),
IF(F47="OFF","Fri",""),
IF(G47="OFF","Sat",""),
IF(H47="OFF","Sun",""))</f>
        <v>Mon - Tue - Wed</v>
      </c>
      <c r="J47" s="15">
        <f>MOD('EST24'!J47+TIME(12,0,0),1)</f>
        <v>0.35416666666666652</v>
      </c>
      <c r="K47" s="15">
        <f>MOD('EST24'!K47+TIME(12,0,0),1)</f>
        <v>0.57291666666666663</v>
      </c>
      <c r="L47" s="15">
        <f>MOD('EST24'!L47+TIME(12,0,0),1)</f>
        <v>0.44791666666666652</v>
      </c>
      <c r="M47" s="15">
        <f>MOD('EST24'!M47+TIME(12,0,0),1)</f>
        <v>0.67708333333333337</v>
      </c>
      <c r="N47" t="str">
        <f>'EST24'!N47</f>
        <v>Christopher Rodas</v>
      </c>
      <c r="O47" t="s">
        <v>82</v>
      </c>
      <c r="P47">
        <f>IF(
TIMEVALUE(LEFT(O47,FIND("-",O47)-1))&gt;=12/24,
0,
1
)</f>
        <v>0</v>
      </c>
    </row>
    <row r="48" spans="1:16" x14ac:dyDescent="0.25">
      <c r="A48" t="str">
        <f>Table2[[#This Row],[Name]]</f>
        <v>Marielle Dakila</v>
      </c>
      <c r="B4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8" t="str">
        <f>_xlfn.TEXTJOIN(" - ",TRUE,
IF(B48="OFF","Mon",""),
IF(C48="OFF","Tue",""),
IF(D48="OFF","Wed",""),
IF(E48="OFF","Thu",""),
IF(F48="OFF","Fri",""),
IF(G48="OFF","Sat",""),
IF(H48="OFF","Sun",""))</f>
        <v>Wed - Sat - Sun</v>
      </c>
      <c r="J48" s="15">
        <f>MOD('EST24'!J48+TIME(12,0,0),1)</f>
        <v>0.97916666666666674</v>
      </c>
      <c r="K48" s="15">
        <f>MOD('EST24'!K48+TIME(12,0,0),1)</f>
        <v>0.17708333333333348</v>
      </c>
      <c r="L48" s="15">
        <f>MOD('EST24'!L48+TIME(12,0,0),1)</f>
        <v>7.2916666666666519E-2</v>
      </c>
      <c r="M48" s="15">
        <f>MOD('EST24'!M48+TIME(12,0,0),1)</f>
        <v>0.28125</v>
      </c>
      <c r="N48" t="str">
        <f>'EST24'!N48</f>
        <v>Remmo Panaligan</v>
      </c>
      <c r="O48" t="s">
        <v>82</v>
      </c>
      <c r="P48">
        <f>IF(
TIMEVALUE(LEFT(O48,FIND("-",O48)-1))&gt;=12/24,
0,
1
)</f>
        <v>0</v>
      </c>
    </row>
    <row r="49" spans="1:16" x14ac:dyDescent="0.25">
      <c r="A49" t="str">
        <f>Table2[[#This Row],[Name]]</f>
        <v>Marjon Gaebrielle Albay</v>
      </c>
      <c r="B4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9" t="str">
        <f>_xlfn.TEXTJOIN(" - ",TRUE,
IF(B49="OFF","Mon",""),
IF(C49="OFF","Tue",""),
IF(D49="OFF","Wed",""),
IF(E49="OFF","Thu",""),
IF(F49="OFF","Fri",""),
IF(G49="OFF","Sat",""),
IF(H49="OFF","Sun",""))</f>
        <v>Mon - Sat - Sun</v>
      </c>
      <c r="J49" s="15">
        <f>MOD('EST24'!J49+TIME(12,0,0),1)</f>
        <v>0.96875</v>
      </c>
      <c r="K49" s="15">
        <f>MOD('EST24'!K49+TIME(12,0,0),1)</f>
        <v>6.25E-2</v>
      </c>
      <c r="L49" s="15">
        <f>MOD('EST24'!L49+TIME(12,0,0),1)</f>
        <v>0.125</v>
      </c>
      <c r="M49" s="15">
        <f>MOD('EST24'!M49+TIME(12,0,0),1)</f>
        <v>0.28125</v>
      </c>
      <c r="N49" t="str">
        <f>'EST24'!N49</f>
        <v>Michael Dominguez</v>
      </c>
      <c r="O49" t="s">
        <v>100</v>
      </c>
      <c r="P49">
        <f>IF(
TIMEVALUE(LEFT(O49,FIND("-",O49)-1))&gt;=12/24,
0,
1
)</f>
        <v>0</v>
      </c>
    </row>
    <row r="50" spans="1:16" x14ac:dyDescent="0.25">
      <c r="A50" t="str">
        <f>Table2[[#This Row],[Name]]</f>
        <v>Mark Raymond Mangaser Jr</v>
      </c>
      <c r="B5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5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17:00 - 04:00</v>
      </c>
      <c r="H5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50" t="str">
        <f>_xlfn.TEXTJOIN(" - ",TRUE,
IF(B50="OFF","Mon",""),
IF(C50="OFF","Tue",""),
IF(D50="OFF","Wed",""),
IF(E50="OFF","Thu",""),
IF(F50="OFF","Fri",""),
IF(G50="OFF","Sat",""),
IF(H50="OFF","Sun",""))</f>
        <v>Wed - Thu - Fri</v>
      </c>
      <c r="J50" s="15">
        <f>MOD('EST24'!J54+TIME(12,0,0),1)</f>
        <v>0.96875</v>
      </c>
      <c r="K50" s="15">
        <f>MOD('EST24'!K54+TIME(12,0,0),1)</f>
        <v>6.25E-2</v>
      </c>
      <c r="L50" s="15">
        <f>MOD('EST24'!L54+TIME(12,0,0),1)</f>
        <v>0.125</v>
      </c>
      <c r="M50" s="15">
        <f>MOD('EST24'!M54+TIME(12,0,0),1)</f>
        <v>0.27083333333333348</v>
      </c>
      <c r="N50" t="str">
        <f>'EST24'!N54</f>
        <v>Christopher Rodas</v>
      </c>
      <c r="O50" t="s">
        <v>82</v>
      </c>
      <c r="P50">
        <f>IF(
TIMEVALUE(LEFT(O50,FIND("-",O50)-1))&gt;=12/24,
0,
1
)</f>
        <v>0</v>
      </c>
    </row>
    <row r="51" spans="1:16" x14ac:dyDescent="0.25">
      <c r="A51" t="str">
        <f>Table2[[#This Row],[Name]]</f>
        <v>Mary Angelie Fajardo</v>
      </c>
      <c r="B5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5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5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5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51" t="str">
        <f>_xlfn.TEXTJOIN(" - ",TRUE,
IF(B51="OFF","Mon",""),
IF(C51="OFF","Tue",""),
IF(D51="OFF","Wed",""),
IF(E51="OFF","Thu",""),
IF(F51="OFF","Fri",""),
IF(G51="OFF","Sat",""),
IF(H51="OFF","Sun",""))</f>
        <v>Tue - Wed - Thu</v>
      </c>
      <c r="J51" s="15">
        <f>MOD('EST24'!J51+TIME(12,0,0),1)</f>
        <v>0.41666666666666652</v>
      </c>
      <c r="K51" s="15">
        <f>MOD('EST24'!K51+TIME(12,0,0),1)</f>
        <v>0.52083333333333337</v>
      </c>
      <c r="L51" s="15">
        <f>MOD('EST24'!L51+TIME(12,0,0),1)</f>
        <v>0.60416666666666663</v>
      </c>
      <c r="M51" s="15">
        <f>MOD('EST24'!M51+TIME(12,0,0),1)</f>
        <v>0.75</v>
      </c>
      <c r="N51" t="str">
        <f>'EST24'!N51</f>
        <v>Christopher Rodas</v>
      </c>
      <c r="O51" t="s">
        <v>70</v>
      </c>
      <c r="P51">
        <f>IF(
TIMEVALUE(LEFT(O51,FIND("-",O51)-1))&gt;=12/24,
0,
1
)</f>
        <v>1</v>
      </c>
    </row>
    <row r="52" spans="1:16" x14ac:dyDescent="0.25">
      <c r="A52" t="str">
        <f>Table2[[#This Row],[Name]]</f>
        <v>Mary Joy Delos Santos</v>
      </c>
      <c r="B5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5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5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10:00 - 21:00</v>
      </c>
      <c r="F5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5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2" t="str">
        <f>_xlfn.TEXTJOIN(" - ",TRUE,
IF(B52="OFF","Mon",""),
IF(C52="OFF","Tue",""),
IF(D52="OFF","Wed",""),
IF(E52="OFF","Thu",""),
IF(F52="OFF","Fri",""),
IF(G52="OFF","Sat",""),
IF(H52="OFF","Sun",""))</f>
        <v>Mon - Sat - Sun</v>
      </c>
      <c r="J52" s="15">
        <f>MOD('EST24'!J52+TIME(12,0,0),1)</f>
        <v>0.5</v>
      </c>
      <c r="K52" s="15">
        <f>MOD('EST24'!K52+TIME(12,0,0),1)</f>
        <v>0.69791666666666663</v>
      </c>
      <c r="L52" s="15">
        <f>MOD('EST24'!L52+TIME(12,0,0),1)</f>
        <v>0.59375</v>
      </c>
      <c r="M52" s="15">
        <f>MOD('EST24'!M52+TIME(12,0,0),1)</f>
        <v>0.80208333333333326</v>
      </c>
      <c r="N52" t="str">
        <f>'EST24'!N52</f>
        <v>Manilyn Abellar</v>
      </c>
      <c r="O52" t="s">
        <v>112</v>
      </c>
      <c r="P52">
        <f>IF(
TIMEVALUE(LEFT(O52,FIND("-",O52)-1))&gt;=12/24,
0,
1
)</f>
        <v>0</v>
      </c>
    </row>
    <row r="53" spans="1:16" x14ac:dyDescent="0.25">
      <c r="A53" t="str">
        <f>Table2[[#This Row],[Name]]</f>
        <v>Mhar Anthony Juezan</v>
      </c>
      <c r="B5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5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5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22:00 - 09:00</v>
      </c>
      <c r="H5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22:00 - 09:00</v>
      </c>
      <c r="I53" t="str">
        <f>_xlfn.TEXTJOIN(" - ",TRUE,
IF(B53="OFF","Mon",""),
IF(C53="OFF","Tue",""),
IF(D53="OFF","Wed",""),
IF(E53="OFF","Thu",""),
IF(F53="OFF","Fri",""),
IF(G53="OFF","Sat",""),
IF(H53="OFF","Sun",""))</f>
        <v>Mon - Tue - Wed</v>
      </c>
      <c r="J53" s="15">
        <f>MOD('EST24'!J53+TIME(12,0,0),1)</f>
        <v>0</v>
      </c>
      <c r="K53" s="15">
        <f>MOD('EST24'!K53+TIME(12,0,0),1)</f>
        <v>0.22916666666666652</v>
      </c>
      <c r="L53" s="15">
        <f>MOD('EST24'!L53+TIME(12,0,0),1)</f>
        <v>0.10416666666666652</v>
      </c>
      <c r="M53" s="15">
        <f>MOD('EST24'!M53+TIME(12,0,0),1)</f>
        <v>0.32291666666666652</v>
      </c>
      <c r="N53" t="str">
        <f>'EST24'!N53</f>
        <v>Christopher Rodas</v>
      </c>
      <c r="O53" t="s">
        <v>82</v>
      </c>
      <c r="P53">
        <f>IF(
TIMEVALUE(LEFT(O53,FIND("-",O53)-1))&gt;=12/24,
0,
1
)</f>
        <v>0</v>
      </c>
    </row>
    <row r="54" spans="1:16" x14ac:dyDescent="0.25">
      <c r="A54" t="str">
        <f>Table2[[#This Row],[Name]]</f>
        <v>Michelle Corbeta</v>
      </c>
      <c r="B5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4" t="str">
        <f>_xlfn.TEXTJOIN(" - ",TRUE,
IF(B54="OFF","Mon",""),
IF(C54="OFF","Tue",""),
IF(D54="OFF","Wed",""),
IF(E54="OFF","Thu",""),
IF(F54="OFF","Fri",""),
IF(G54="OFF","Sat",""),
IF(H54="OFF","Sun",""))</f>
        <v>Tue - Wed - Thu</v>
      </c>
      <c r="J54" s="15">
        <f>MOD('EST24'!J17+TIME(12,0,0),1)</f>
        <v>0.9375</v>
      </c>
      <c r="K54" s="15">
        <f>MOD('EST24'!K17+TIME(12,0,0),1)</f>
        <v>0.14583333333333348</v>
      </c>
      <c r="L54" s="15">
        <f>MOD('EST24'!L17+TIME(12,0,0),1)</f>
        <v>2.0833333333333481E-2</v>
      </c>
      <c r="M54" s="15">
        <f>MOD('EST24'!M17+TIME(12,0,0),1)</f>
        <v>0.25</v>
      </c>
      <c r="N54" t="str">
        <f>'EST24'!N17</f>
        <v>Manilyn Abellar</v>
      </c>
      <c r="O54" t="s">
        <v>123</v>
      </c>
      <c r="P54">
        <f>IF(
TIMEVALUE(LEFT(O54,FIND("-",O54)-1))&gt;=12/24,
0,
1
)</f>
        <v>0</v>
      </c>
    </row>
    <row r="55" spans="1:16" x14ac:dyDescent="0.25">
      <c r="A55" t="str">
        <f>Table2[[#This Row],[Name]]</f>
        <v>Pat Marlou Tanola</v>
      </c>
      <c r="B5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5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5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5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5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5" t="str">
        <f>_xlfn.TEXTJOIN(" - ",TRUE,
IF(B55="OFF","Mon",""),
IF(C55="OFF","Tue",""),
IF(D55="OFF","Wed",""),
IF(E55="OFF","Thu",""),
IF(F55="OFF","Fri",""),
IF(G55="OFF","Sat",""),
IF(H55="OFF","Sun",""))</f>
        <v>Mon - Sat - Sun</v>
      </c>
      <c r="J55" s="15">
        <f>MOD('EST24'!J55+TIME(12,0,0),1)</f>
        <v>0.875</v>
      </c>
      <c r="K55" s="15">
        <f>MOD('EST24'!K55+TIME(12,0,0),1)</f>
        <v>8.3333333333333481E-2</v>
      </c>
      <c r="L55" s="15">
        <f>MOD('EST24'!L55+TIME(12,0,0),1)</f>
        <v>0.95833333333333326</v>
      </c>
      <c r="M55" s="15">
        <f>MOD('EST24'!M55+TIME(12,0,0),1)</f>
        <v>0.16666666666666652</v>
      </c>
      <c r="N55" t="str">
        <f>'EST24'!N55</f>
        <v>Christopher Rodas</v>
      </c>
      <c r="O55" t="s">
        <v>68</v>
      </c>
      <c r="P55">
        <f>IF(
TIMEVALUE(LEFT(O55,FIND("-",O55)-1))&gt;=12/24,
0,
1
)</f>
        <v>1</v>
      </c>
    </row>
    <row r="56" spans="1:16" x14ac:dyDescent="0.25">
      <c r="A56" t="str">
        <f>Table2[[#This Row],[Name]]</f>
        <v>Patricia Gilan Villas</v>
      </c>
      <c r="B5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6" t="str">
        <f>_xlfn.TEXTJOIN(" - ",TRUE,
IF(B56="OFF","Mon",""),
IF(C56="OFF","Tue",""),
IF(D56="OFF","Wed",""),
IF(E56="OFF","Thu",""),
IF(F56="OFF","Fri",""),
IF(G56="OFF","Sat",""),
IF(H56="OFF","Sun",""))</f>
        <v>Tue - Wed - Thu</v>
      </c>
      <c r="J56" s="15">
        <f>MOD('EST24'!J56+TIME(12,0,0),1)</f>
        <v>0.94791666666666674</v>
      </c>
      <c r="K56" s="15">
        <f>MOD('EST24'!K56+TIME(12,0,0),1)</f>
        <v>0.15625</v>
      </c>
      <c r="L56" s="15">
        <f>MOD('EST24'!L56+TIME(12,0,0),1)</f>
        <v>2.0833333333333481E-2</v>
      </c>
      <c r="M56" s="15">
        <f>MOD('EST24'!M56+TIME(12,0,0),1)</f>
        <v>0.26041666666666652</v>
      </c>
      <c r="N56" t="str">
        <f>'EST24'!N56</f>
        <v>Anmecha Valencia</v>
      </c>
      <c r="O56" t="s">
        <v>79</v>
      </c>
      <c r="P56">
        <f>IF(
TIMEVALUE(LEFT(O56,FIND("-",O56)-1))&gt;=12/24,
0,
1
)</f>
        <v>0</v>
      </c>
    </row>
    <row r="57" spans="1:16" x14ac:dyDescent="0.25">
      <c r="A57" t="str">
        <f>Table2[[#This Row],[Name]]</f>
        <v>Raquela Nicole Lareta</v>
      </c>
      <c r="B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05:00 - 16:00</v>
      </c>
      <c r="C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05:00 - 16:00</v>
      </c>
      <c r="D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7" t="str">
        <f>_xlfn.TEXTJOIN(" - ",TRUE,
IF(B57="OFF","Mon",""),
IF(C57="OFF","Tue",""),
IF(D57="OFF","Wed",""),
IF(E57="OFF","Thu",""),
IF(F57="OFF","Fri",""),
IF(G57="OFF","Sat",""),
IF(H57="OFF","Sun",""))</f>
        <v>Fri - Sat - Sun</v>
      </c>
      <c r="J57" s="15">
        <f>MOD('EST24'!J57+TIME(12,0,0),1)</f>
        <v>0.3125</v>
      </c>
      <c r="K57" s="15">
        <f>MOD('EST24'!K57+TIME(12,0,0),1)</f>
        <v>0.51041666666666663</v>
      </c>
      <c r="L57" s="15">
        <f>MOD('EST24'!L57+TIME(12,0,0),1)</f>
        <v>0.39583333333333348</v>
      </c>
      <c r="M57" s="15">
        <f>MOD('EST24'!M57+TIME(12,0,0),1)</f>
        <v>0.61458333333333337</v>
      </c>
      <c r="N57" t="str">
        <f>'EST24'!N57</f>
        <v>Christopher Rodas</v>
      </c>
      <c r="O57" t="s">
        <v>58</v>
      </c>
      <c r="P57">
        <f>IF(
TIMEVALUE(LEFT(O57,FIND("-",O57)-1))&gt;=12/24,
0,
1
)</f>
        <v>1</v>
      </c>
    </row>
    <row r="58" spans="1:16" x14ac:dyDescent="0.25">
      <c r="A58" t="str">
        <f>Table2[[#This Row],[Name]]</f>
        <v>Rayniel Ingal</v>
      </c>
      <c r="B5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12:00 - 23:00</v>
      </c>
      <c r="C5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12:00 - 23:00</v>
      </c>
      <c r="D5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5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12:00 - 23:00</v>
      </c>
      <c r="I58" t="str">
        <f>_xlfn.TEXTJOIN(" - ",TRUE,
IF(B58="OFF","Mon",""),
IF(C58="OFF","Tue",""),
IF(D58="OFF","Wed",""),
IF(E58="OFF","Thu",""),
IF(F58="OFF","Fri",""),
IF(G58="OFF","Sat",""),
IF(H58="OFF","Sun",""))</f>
        <v>Wed - Thu - Fri</v>
      </c>
      <c r="J58" s="15">
        <f>MOD('EST24'!J58+TIME(12,0,0),1)</f>
        <v>0.58333333333333337</v>
      </c>
      <c r="K58" s="15">
        <f>MOD('EST24'!K58+TIME(12,0,0),1)</f>
        <v>0.66666666666666663</v>
      </c>
      <c r="L58" s="15">
        <f>MOD('EST24'!L58+TIME(12,0,0),1)</f>
        <v>0.79166666666666674</v>
      </c>
      <c r="M58" s="15">
        <f>MOD('EST24'!M58+TIME(12,0,0),1)</f>
        <v>0.91666666666666674</v>
      </c>
      <c r="N58" t="str">
        <f>'EST24'!N58</f>
        <v>Chris Borromeo</v>
      </c>
      <c r="O58" t="s">
        <v>82</v>
      </c>
      <c r="P58">
        <f>IF(
TIMEVALUE(LEFT(O58,FIND("-",O58)-1))&gt;=12/24,
0,
1
)</f>
        <v>0</v>
      </c>
    </row>
    <row r="59" spans="1:16" x14ac:dyDescent="0.25">
      <c r="A59" t="str">
        <f>Table2[[#This Row],[Name]]</f>
        <v>Rey Fernandez</v>
      </c>
      <c r="B5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11:00 - 22:00</v>
      </c>
      <c r="C5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11:00 - 22:00</v>
      </c>
      <c r="F5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11:00 - 22:00</v>
      </c>
      <c r="G5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11:00 - 22:00</v>
      </c>
      <c r="I59" t="str">
        <f>_xlfn.TEXTJOIN(" - ",TRUE,
IF(B59="OFF","Mon",""),
IF(C59="OFF","Tue",""),
IF(D59="OFF","Wed",""),
IF(E59="OFF","Thu",""),
IF(F59="OFF","Fri",""),
IF(G59="OFF","Sat",""),
IF(H59="OFF","Sun",""))</f>
        <v>Tue - Wed - Sat</v>
      </c>
      <c r="J59" s="15">
        <f>MOD('EST24'!J26+TIME(12,0,0),1)</f>
        <v>0.92708333333333326</v>
      </c>
      <c r="K59" s="15">
        <f>MOD('EST24'!K26+TIME(12,0,0),1)</f>
        <v>0.15625</v>
      </c>
      <c r="L59" s="15">
        <f>MOD('EST24'!L26+TIME(12,0,0),1)</f>
        <v>3.125E-2</v>
      </c>
      <c r="M59" s="15">
        <f>MOD('EST24'!M26+TIME(12,0,0),1)</f>
        <v>0.25</v>
      </c>
      <c r="N59" t="str">
        <f>'EST24'!N26</f>
        <v>Remmo Panaligan</v>
      </c>
      <c r="O59" t="s">
        <v>123</v>
      </c>
      <c r="P59">
        <f>IF(
TIMEVALUE(LEFT(O59,FIND("-",O59)-1))&gt;=12/24,
0,
1
)</f>
        <v>0</v>
      </c>
    </row>
    <row r="60" spans="1:16" x14ac:dyDescent="0.25">
      <c r="A60" t="str">
        <f>Table2[[#This Row],[Name]]</f>
        <v>Rona Rotchel Moniva</v>
      </c>
      <c r="B6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6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6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0" t="str">
        <f t="shared" si="0"/>
        <v>Mon - Tue - Sun</v>
      </c>
      <c r="J60" s="15">
        <f>MOD('EST24'!J60+TIME(12,0,0),1)</f>
        <v>0.96875</v>
      </c>
      <c r="K60" s="15">
        <f>MOD('EST24'!K60+TIME(12,0,0),1)</f>
        <v>0.22916666666666652</v>
      </c>
      <c r="L60" s="15">
        <f>MOD('EST24'!L60+TIME(12,0,0),1)</f>
        <v>6.25E-2</v>
      </c>
      <c r="M60" s="15">
        <f>MOD('EST24'!M60+TIME(12,0,0),1)</f>
        <v>0.29166666666666652</v>
      </c>
      <c r="N60" t="str">
        <f>'EST24'!N60</f>
        <v>Manilyn Abellar</v>
      </c>
      <c r="O60" t="s">
        <v>96</v>
      </c>
      <c r="P60">
        <f t="shared" si="1"/>
        <v>0</v>
      </c>
    </row>
    <row r="61" spans="1:16" x14ac:dyDescent="0.25">
      <c r="A61" t="str">
        <f>Table2[[#This Row],[Name]]</f>
        <v>Roy Sagales</v>
      </c>
      <c r="B6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6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19:00 - 06:00</v>
      </c>
      <c r="H6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19:00 - 06:00</v>
      </c>
      <c r="I61" t="str">
        <f t="shared" si="0"/>
        <v>Wed - Thu - Fri</v>
      </c>
      <c r="J61" s="15">
        <f>MOD('EST24'!J61+TIME(12,0,0),1)</f>
        <v>0.86458333333333326</v>
      </c>
      <c r="K61" s="15">
        <f>MOD('EST24'!K61+TIME(12,0,0),1)</f>
        <v>7.2916666666666519E-2</v>
      </c>
      <c r="L61" s="15">
        <f>MOD('EST24'!L61+TIME(12,0,0),1)</f>
        <v>0.94791666666666674</v>
      </c>
      <c r="M61" s="15">
        <f>MOD('EST24'!M61+TIME(12,0,0),1)</f>
        <v>0.17708333333333348</v>
      </c>
      <c r="N61" t="str">
        <f>'EST24'!N61</f>
        <v>Michael Dominguez</v>
      </c>
      <c r="O61" t="s">
        <v>82</v>
      </c>
      <c r="P61">
        <f t="shared" si="1"/>
        <v>0</v>
      </c>
    </row>
    <row r="62" spans="1:16" x14ac:dyDescent="0.25">
      <c r="A62" t="str">
        <f>Table2[[#This Row],[Name]]</f>
        <v>Sam Supnet</v>
      </c>
      <c r="B6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22:30 - 09:30</v>
      </c>
      <c r="C6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22:30 - 09:30</v>
      </c>
      <c r="D6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22:30 - 09:30</v>
      </c>
      <c r="H6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22:30 - 09:30</v>
      </c>
      <c r="I62" t="str">
        <f t="shared" si="0"/>
        <v>Wed - Thu - Fri</v>
      </c>
      <c r="J62" s="15">
        <f>MOD('EST24'!J62+TIME(12,0,0),1)</f>
        <v>3.125E-2</v>
      </c>
      <c r="K62" s="15">
        <f>MOD('EST24'!K62+TIME(12,0,0),1)</f>
        <v>0.26041666666666652</v>
      </c>
      <c r="L62" s="15">
        <f>MOD('EST24'!L62+TIME(12,0,0),1)</f>
        <v>0.14583333333333348</v>
      </c>
      <c r="M62" s="15">
        <f>MOD('EST24'!M62+TIME(12,0,0),1)</f>
        <v>0.375</v>
      </c>
      <c r="N62" t="str">
        <f>'EST24'!N62</f>
        <v>Michael Dominguez</v>
      </c>
      <c r="O62" t="s">
        <v>52</v>
      </c>
      <c r="P62">
        <f t="shared" si="1"/>
        <v>0</v>
      </c>
    </row>
    <row r="63" spans="1:16" x14ac:dyDescent="0.25">
      <c r="A63" t="str">
        <f>Table2[[#This Row],[Name]]</f>
        <v>Samantha Yvonne Dela Costa</v>
      </c>
      <c r="B6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6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6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3" t="str">
        <f t="shared" si="0"/>
        <v>Thu - Sat - Sun</v>
      </c>
      <c r="J63" s="15">
        <f>MOD('EST24'!J63+TIME(12,0,0),1)</f>
        <v>0.98958333333333326</v>
      </c>
      <c r="K63" s="15">
        <f>MOD('EST24'!K63+TIME(12,0,0),1)</f>
        <v>0.22916666666666652</v>
      </c>
      <c r="L63" s="15">
        <f>MOD('EST24'!L63+TIME(12,0,0),1)</f>
        <v>0.10416666666666652</v>
      </c>
      <c r="M63" s="15">
        <f>MOD('EST24'!M63+TIME(12,0,0),1)</f>
        <v>0.3125</v>
      </c>
      <c r="N63" t="str">
        <f>'EST24'!N63</f>
        <v>Anmecha Valencia</v>
      </c>
      <c r="O63" t="s">
        <v>32</v>
      </c>
      <c r="P63">
        <f t="shared" si="1"/>
        <v>0</v>
      </c>
    </row>
    <row r="64" spans="1:16" x14ac:dyDescent="0.25">
      <c r="A64" t="str">
        <f>Table2[[#This Row],[Name]]</f>
        <v>Sean Gabriel Ramirez</v>
      </c>
    </row>
    <row r="65" spans="1:1" x14ac:dyDescent="0.25">
      <c r="A65" t="str">
        <f>Table2[[#This Row],[Name]]</f>
        <v>Shiela Mae Laroa</v>
      </c>
    </row>
    <row r="66" spans="1:1" x14ac:dyDescent="0.25">
      <c r="A66" t="str">
        <f>Table2[[#This Row],[Name]]</f>
        <v>William Nava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workbookViewId="0">
      <selection activeCell="B3" sqref="B3"/>
    </sheetView>
  </sheetViews>
  <sheetFormatPr defaultRowHeight="15" x14ac:dyDescent="0.2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 x14ac:dyDescent="0.25">
      <c r="A1" s="18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20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141</v>
      </c>
      <c r="P1" s="19" t="s">
        <v>15</v>
      </c>
    </row>
    <row r="2" spans="1:16" x14ac:dyDescent="0.25">
      <c r="A2" s="21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">
        <v>19</v>
      </c>
      <c r="J2" s="22">
        <v>0.125</v>
      </c>
      <c r="K2" s="22">
        <v>0.35416666666666669</v>
      </c>
      <c r="L2" s="22">
        <v>0.26041666666666669</v>
      </c>
      <c r="M2" s="22">
        <v>0.44791666666666669</v>
      </c>
      <c r="N2" s="23" t="s">
        <v>20</v>
      </c>
      <c r="O2" s="22" t="s">
        <v>17</v>
      </c>
      <c r="P2">
        <f t="shared" ref="P2:P65" si="0">IF(O2="OFF",0,
IF(VALUE(LEFT(O2,2))&lt;12,0,1))</f>
        <v>0</v>
      </c>
    </row>
    <row r="3" spans="1:16" x14ac:dyDescent="0.25">
      <c r="A3" s="21" t="s">
        <v>21</v>
      </c>
      <c r="B3" s="1" t="s">
        <v>22</v>
      </c>
      <c r="C3" s="1" t="s">
        <v>22</v>
      </c>
      <c r="D3" s="1" t="s">
        <v>22</v>
      </c>
      <c r="E3" s="1" t="s">
        <v>18</v>
      </c>
      <c r="F3" s="1" t="s">
        <v>18</v>
      </c>
      <c r="G3" s="1" t="s">
        <v>18</v>
      </c>
      <c r="H3" s="1" t="s">
        <v>22</v>
      </c>
      <c r="I3" s="2" t="s">
        <v>23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20</v>
      </c>
      <c r="O3" s="3" t="s">
        <v>22</v>
      </c>
      <c r="P3">
        <f t="shared" si="0"/>
        <v>1</v>
      </c>
    </row>
    <row r="4" spans="1:16" x14ac:dyDescent="0.25">
      <c r="A4" s="21" t="s">
        <v>24</v>
      </c>
      <c r="B4" s="1" t="s">
        <v>25</v>
      </c>
      <c r="C4" s="1" t="s">
        <v>25</v>
      </c>
      <c r="D4" s="1" t="s">
        <v>25</v>
      </c>
      <c r="E4" s="1" t="s">
        <v>18</v>
      </c>
      <c r="F4" s="1" t="s">
        <v>25</v>
      </c>
      <c r="G4" s="1" t="s">
        <v>18</v>
      </c>
      <c r="H4" s="1" t="s">
        <v>18</v>
      </c>
      <c r="I4" s="2" t="s">
        <v>26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142</v>
      </c>
      <c r="O4" s="3" t="s">
        <v>25</v>
      </c>
      <c r="P4">
        <f t="shared" si="0"/>
        <v>0</v>
      </c>
    </row>
    <row r="5" spans="1:16" x14ac:dyDescent="0.25">
      <c r="A5" s="21" t="s">
        <v>28</v>
      </c>
      <c r="B5" s="1" t="s">
        <v>29</v>
      </c>
      <c r="C5" s="1" t="s">
        <v>29</v>
      </c>
      <c r="D5" s="1" t="s">
        <v>29</v>
      </c>
      <c r="E5" s="1" t="s">
        <v>29</v>
      </c>
      <c r="F5" s="1" t="s">
        <v>18</v>
      </c>
      <c r="G5" s="1" t="s">
        <v>18</v>
      </c>
      <c r="H5" s="1" t="s">
        <v>18</v>
      </c>
      <c r="I5" s="2" t="s">
        <v>30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142</v>
      </c>
      <c r="O5" s="3" t="s">
        <v>29</v>
      </c>
      <c r="P5">
        <f t="shared" si="0"/>
        <v>0</v>
      </c>
    </row>
    <row r="6" spans="1:16" x14ac:dyDescent="0.25">
      <c r="A6" s="24" t="s">
        <v>143</v>
      </c>
      <c r="B6" s="25" t="s">
        <v>17</v>
      </c>
      <c r="C6" s="25" t="s">
        <v>17</v>
      </c>
      <c r="D6" s="25" t="s">
        <v>18</v>
      </c>
      <c r="E6" s="25" t="s">
        <v>18</v>
      </c>
      <c r="F6" s="25" t="s">
        <v>18</v>
      </c>
      <c r="G6" s="25" t="s">
        <v>17</v>
      </c>
      <c r="H6" s="25" t="s">
        <v>17</v>
      </c>
      <c r="I6" s="26" t="s">
        <v>19</v>
      </c>
      <c r="J6" s="27">
        <v>0.125</v>
      </c>
      <c r="K6" s="27">
        <v>0.33333333333333331</v>
      </c>
      <c r="L6" s="27">
        <v>0.21875</v>
      </c>
      <c r="M6" s="27">
        <v>0.4375</v>
      </c>
      <c r="N6" s="28" t="s">
        <v>42</v>
      </c>
      <c r="O6" s="27" t="s">
        <v>17</v>
      </c>
      <c r="P6">
        <f t="shared" si="0"/>
        <v>0</v>
      </c>
    </row>
    <row r="7" spans="1:16" x14ac:dyDescent="0.25">
      <c r="A7" s="21" t="s">
        <v>31</v>
      </c>
      <c r="B7" s="1" t="s">
        <v>18</v>
      </c>
      <c r="C7" s="1" t="s">
        <v>18</v>
      </c>
      <c r="D7" s="1" t="s">
        <v>18</v>
      </c>
      <c r="E7" s="1" t="s">
        <v>112</v>
      </c>
      <c r="F7" s="1" t="s">
        <v>112</v>
      </c>
      <c r="G7" s="1" t="s">
        <v>112</v>
      </c>
      <c r="H7" s="1" t="s">
        <v>112</v>
      </c>
      <c r="I7" s="2" t="s">
        <v>33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34</v>
      </c>
      <c r="O7" s="3" t="s">
        <v>112</v>
      </c>
      <c r="P7">
        <f t="shared" si="0"/>
        <v>1</v>
      </c>
    </row>
    <row r="8" spans="1:16" x14ac:dyDescent="0.25">
      <c r="A8" s="21" t="s">
        <v>35</v>
      </c>
      <c r="B8" s="1" t="s">
        <v>58</v>
      </c>
      <c r="C8" s="1" t="s">
        <v>58</v>
      </c>
      <c r="D8" s="1" t="s">
        <v>18</v>
      </c>
      <c r="E8" s="1" t="s">
        <v>18</v>
      </c>
      <c r="F8" s="1" t="s">
        <v>58</v>
      </c>
      <c r="G8" s="1" t="s">
        <v>58</v>
      </c>
      <c r="H8" s="1" t="s">
        <v>18</v>
      </c>
      <c r="I8" s="2" t="s">
        <v>144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38</v>
      </c>
      <c r="O8" s="3" t="s">
        <v>58</v>
      </c>
      <c r="P8">
        <f t="shared" si="0"/>
        <v>0</v>
      </c>
    </row>
    <row r="9" spans="1:16" x14ac:dyDescent="0.25">
      <c r="A9" s="21" t="s">
        <v>39</v>
      </c>
      <c r="B9" s="1" t="s">
        <v>36</v>
      </c>
      <c r="C9" s="1" t="s">
        <v>36</v>
      </c>
      <c r="D9" s="1" t="s">
        <v>36</v>
      </c>
      <c r="E9" s="1" t="s">
        <v>18</v>
      </c>
      <c r="F9" s="1" t="s">
        <v>36</v>
      </c>
      <c r="G9" s="1" t="s">
        <v>18</v>
      </c>
      <c r="H9" s="1" t="s">
        <v>18</v>
      </c>
      <c r="I9" s="2" t="s">
        <v>26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34</v>
      </c>
      <c r="O9" s="3" t="s">
        <v>36</v>
      </c>
      <c r="P9">
        <f t="shared" si="0"/>
        <v>0</v>
      </c>
    </row>
    <row r="10" spans="1:16" x14ac:dyDescent="0.25">
      <c r="A10" s="21" t="s">
        <v>40</v>
      </c>
      <c r="B10" s="1" t="s">
        <v>36</v>
      </c>
      <c r="C10" s="1" t="s">
        <v>36</v>
      </c>
      <c r="D10" s="1" t="s">
        <v>18</v>
      </c>
      <c r="E10" s="1" t="s">
        <v>18</v>
      </c>
      <c r="F10" s="1" t="s">
        <v>18</v>
      </c>
      <c r="G10" s="1" t="s">
        <v>36</v>
      </c>
      <c r="H10" s="1" t="s">
        <v>36</v>
      </c>
      <c r="I10" s="2" t="s">
        <v>145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42</v>
      </c>
      <c r="O10" s="3" t="s">
        <v>36</v>
      </c>
      <c r="P10">
        <f t="shared" si="0"/>
        <v>0</v>
      </c>
    </row>
    <row r="11" spans="1:16" x14ac:dyDescent="0.25">
      <c r="A11" s="21" t="s">
        <v>146</v>
      </c>
      <c r="B11" s="1" t="s">
        <v>25</v>
      </c>
      <c r="C11" s="1" t="s">
        <v>18</v>
      </c>
      <c r="D11" s="1" t="s">
        <v>18</v>
      </c>
      <c r="E11" s="1" t="s">
        <v>18</v>
      </c>
      <c r="F11" s="1" t="s">
        <v>25</v>
      </c>
      <c r="G11" s="1" t="s">
        <v>25</v>
      </c>
      <c r="H11" s="1" t="s">
        <v>25</v>
      </c>
      <c r="I11" s="2" t="s">
        <v>41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142</v>
      </c>
      <c r="O11" s="3" t="s">
        <v>25</v>
      </c>
      <c r="P11">
        <f t="shared" si="0"/>
        <v>0</v>
      </c>
    </row>
    <row r="12" spans="1:16" x14ac:dyDescent="0.25">
      <c r="A12" s="21" t="s">
        <v>43</v>
      </c>
      <c r="B12" s="1" t="s">
        <v>36</v>
      </c>
      <c r="C12" s="1" t="s">
        <v>18</v>
      </c>
      <c r="D12" s="1" t="s">
        <v>36</v>
      </c>
      <c r="E12" s="1" t="s">
        <v>36</v>
      </c>
      <c r="F12" s="1" t="s">
        <v>36</v>
      </c>
      <c r="G12" s="1" t="s">
        <v>18</v>
      </c>
      <c r="H12" s="1" t="s">
        <v>18</v>
      </c>
      <c r="I12" s="2" t="s">
        <v>44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38</v>
      </c>
      <c r="O12" s="1" t="s">
        <v>36</v>
      </c>
      <c r="P12">
        <f t="shared" si="0"/>
        <v>0</v>
      </c>
    </row>
    <row r="13" spans="1:16" x14ac:dyDescent="0.25">
      <c r="A13" s="21" t="s">
        <v>45</v>
      </c>
      <c r="B13" s="1" t="s">
        <v>46</v>
      </c>
      <c r="C13" s="1" t="s">
        <v>46</v>
      </c>
      <c r="D13" s="1" t="s">
        <v>18</v>
      </c>
      <c r="E13" s="1" t="s">
        <v>46</v>
      </c>
      <c r="F13" s="1" t="s">
        <v>46</v>
      </c>
      <c r="G13" s="1" t="s">
        <v>18</v>
      </c>
      <c r="H13" s="1" t="s">
        <v>18</v>
      </c>
      <c r="I13" s="2" t="s">
        <v>47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38</v>
      </c>
      <c r="O13" s="1" t="s">
        <v>46</v>
      </c>
      <c r="P13">
        <f t="shared" si="0"/>
        <v>0</v>
      </c>
    </row>
    <row r="14" spans="1:16" x14ac:dyDescent="0.25">
      <c r="A14" s="21" t="s">
        <v>48</v>
      </c>
      <c r="B14" s="1" t="s">
        <v>18</v>
      </c>
      <c r="C14" s="1" t="s">
        <v>36</v>
      </c>
      <c r="D14" s="1" t="s">
        <v>36</v>
      </c>
      <c r="E14" s="1" t="s">
        <v>36</v>
      </c>
      <c r="F14" s="1" t="s">
        <v>36</v>
      </c>
      <c r="G14" s="1" t="s">
        <v>18</v>
      </c>
      <c r="H14" s="1" t="s">
        <v>18</v>
      </c>
      <c r="I14" s="2" t="s">
        <v>49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34</v>
      </c>
      <c r="O14" s="1" t="s">
        <v>36</v>
      </c>
      <c r="P14">
        <f t="shared" si="0"/>
        <v>0</v>
      </c>
    </row>
    <row r="15" spans="1:16" x14ac:dyDescent="0.25">
      <c r="A15" s="21" t="s">
        <v>50</v>
      </c>
      <c r="B15" s="1" t="s">
        <v>29</v>
      </c>
      <c r="C15" s="1" t="s">
        <v>29</v>
      </c>
      <c r="D15" s="1" t="s">
        <v>29</v>
      </c>
      <c r="E15" s="1" t="s">
        <v>29</v>
      </c>
      <c r="F15" s="1" t="s">
        <v>18</v>
      </c>
      <c r="G15" s="1" t="s">
        <v>18</v>
      </c>
      <c r="H15" s="1" t="s">
        <v>18</v>
      </c>
      <c r="I15" s="2" t="s">
        <v>30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42</v>
      </c>
      <c r="O15" s="3" t="s">
        <v>29</v>
      </c>
      <c r="P15">
        <f t="shared" si="0"/>
        <v>0</v>
      </c>
    </row>
    <row r="16" spans="1:16" x14ac:dyDescent="0.25">
      <c r="A16" s="29" t="s">
        <v>51</v>
      </c>
      <c r="B16" s="30" t="s">
        <v>22</v>
      </c>
      <c r="C16" s="30" t="s">
        <v>22</v>
      </c>
      <c r="D16" s="30" t="s">
        <v>22</v>
      </c>
      <c r="E16" s="30" t="s">
        <v>18</v>
      </c>
      <c r="F16" s="30" t="s">
        <v>18</v>
      </c>
      <c r="G16" s="30" t="s">
        <v>18</v>
      </c>
      <c r="H16" s="30" t="s">
        <v>22</v>
      </c>
      <c r="I16" s="31" t="s">
        <v>147</v>
      </c>
      <c r="J16" s="32">
        <v>0.59375</v>
      </c>
      <c r="K16" s="32">
        <v>0.84375</v>
      </c>
      <c r="L16" s="32">
        <v>0.73958333333333337</v>
      </c>
      <c r="M16" s="32">
        <v>0.94791666666666663</v>
      </c>
      <c r="N16" s="33" t="s">
        <v>142</v>
      </c>
      <c r="O16" s="32" t="s">
        <v>22</v>
      </c>
      <c r="P16">
        <f t="shared" si="0"/>
        <v>1</v>
      </c>
    </row>
    <row r="17" spans="1:16" x14ac:dyDescent="0.25">
      <c r="A17" s="21" t="s">
        <v>53</v>
      </c>
      <c r="B17" s="1" t="s">
        <v>54</v>
      </c>
      <c r="C17" s="1" t="s">
        <v>54</v>
      </c>
      <c r="D17" s="1" t="s">
        <v>54</v>
      </c>
      <c r="E17" s="1" t="s">
        <v>54</v>
      </c>
      <c r="F17" s="1" t="s">
        <v>18</v>
      </c>
      <c r="G17" s="1" t="s">
        <v>18</v>
      </c>
      <c r="H17" s="1" t="s">
        <v>18</v>
      </c>
      <c r="I17" s="2" t="s">
        <v>30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142</v>
      </c>
      <c r="O17" s="3" t="s">
        <v>54</v>
      </c>
      <c r="P17">
        <f t="shared" si="0"/>
        <v>0</v>
      </c>
    </row>
    <row r="18" spans="1:16" x14ac:dyDescent="0.25">
      <c r="A18" s="21" t="s">
        <v>56</v>
      </c>
      <c r="B18" s="1" t="s">
        <v>25</v>
      </c>
      <c r="C18" s="1" t="s">
        <v>25</v>
      </c>
      <c r="D18" s="1" t="s">
        <v>18</v>
      </c>
      <c r="E18" s="1" t="s">
        <v>18</v>
      </c>
      <c r="F18" s="1" t="s">
        <v>18</v>
      </c>
      <c r="G18" s="1" t="s">
        <v>25</v>
      </c>
      <c r="H18" s="1" t="s">
        <v>25</v>
      </c>
      <c r="I18" s="2" t="s">
        <v>19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142</v>
      </c>
      <c r="O18" s="3" t="s">
        <v>25</v>
      </c>
      <c r="P18">
        <f t="shared" si="0"/>
        <v>0</v>
      </c>
    </row>
    <row r="19" spans="1:16" x14ac:dyDescent="0.25">
      <c r="A19" s="21" t="s">
        <v>57</v>
      </c>
      <c r="B19" s="1" t="s">
        <v>58</v>
      </c>
      <c r="C19" s="1" t="s">
        <v>58</v>
      </c>
      <c r="D19" s="1" t="s">
        <v>58</v>
      </c>
      <c r="E19" s="1" t="s">
        <v>58</v>
      </c>
      <c r="F19" s="1" t="s">
        <v>18</v>
      </c>
      <c r="G19" s="1" t="s">
        <v>18</v>
      </c>
      <c r="H19" s="1" t="s">
        <v>18</v>
      </c>
      <c r="I19" s="2" t="s">
        <v>30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38</v>
      </c>
      <c r="O19" s="3" t="s">
        <v>58</v>
      </c>
      <c r="P19">
        <f t="shared" si="0"/>
        <v>0</v>
      </c>
    </row>
    <row r="20" spans="1:16" x14ac:dyDescent="0.25">
      <c r="A20" s="21" t="s">
        <v>59</v>
      </c>
      <c r="B20" s="1" t="s">
        <v>36</v>
      </c>
      <c r="C20" s="1" t="s">
        <v>36</v>
      </c>
      <c r="D20" s="1" t="s">
        <v>36</v>
      </c>
      <c r="E20" s="1" t="s">
        <v>18</v>
      </c>
      <c r="F20" s="1" t="s">
        <v>36</v>
      </c>
      <c r="G20" s="1" t="s">
        <v>18</v>
      </c>
      <c r="H20" s="1" t="s">
        <v>18</v>
      </c>
      <c r="I20" s="2" t="s">
        <v>26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38</v>
      </c>
      <c r="O20" s="3" t="s">
        <v>36</v>
      </c>
      <c r="P20">
        <f t="shared" si="0"/>
        <v>0</v>
      </c>
    </row>
    <row r="21" spans="1:16" x14ac:dyDescent="0.25">
      <c r="A21" s="21" t="s">
        <v>60</v>
      </c>
      <c r="B21" s="1" t="s">
        <v>36</v>
      </c>
      <c r="C21" s="1" t="s">
        <v>36</v>
      </c>
      <c r="D21" s="1" t="s">
        <v>18</v>
      </c>
      <c r="E21" s="1" t="s">
        <v>36</v>
      </c>
      <c r="F21" s="1" t="s">
        <v>36</v>
      </c>
      <c r="G21" s="1" t="s">
        <v>18</v>
      </c>
      <c r="H21" s="1" t="s">
        <v>18</v>
      </c>
      <c r="I21" s="2" t="s">
        <v>47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38</v>
      </c>
      <c r="O21" s="3" t="s">
        <v>36</v>
      </c>
      <c r="P21">
        <f t="shared" si="0"/>
        <v>0</v>
      </c>
    </row>
    <row r="22" spans="1:16" x14ac:dyDescent="0.25">
      <c r="A22" s="21" t="s">
        <v>128</v>
      </c>
      <c r="B22" s="1" t="s">
        <v>129</v>
      </c>
      <c r="C22" s="1" t="s">
        <v>129</v>
      </c>
      <c r="D22" s="1" t="s">
        <v>18</v>
      </c>
      <c r="E22" s="1" t="s">
        <v>18</v>
      </c>
      <c r="F22" s="1" t="s">
        <v>18</v>
      </c>
      <c r="G22" s="1" t="s">
        <v>129</v>
      </c>
      <c r="H22" s="1" t="s">
        <v>129</v>
      </c>
      <c r="I22" s="2" t="s">
        <v>19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34</v>
      </c>
      <c r="O22" s="3" t="s">
        <v>129</v>
      </c>
      <c r="P22">
        <f t="shared" si="0"/>
        <v>0</v>
      </c>
    </row>
    <row r="23" spans="1:16" x14ac:dyDescent="0.25">
      <c r="A23" s="21" t="s">
        <v>148</v>
      </c>
      <c r="B23" s="1" t="s">
        <v>149</v>
      </c>
      <c r="C23" s="1" t="s">
        <v>149</v>
      </c>
      <c r="D23" s="1" t="s">
        <v>149</v>
      </c>
      <c r="E23" s="1" t="s">
        <v>149</v>
      </c>
      <c r="F23" s="1" t="s">
        <v>18</v>
      </c>
      <c r="G23" s="1" t="s">
        <v>18</v>
      </c>
      <c r="H23" s="1" t="s">
        <v>18</v>
      </c>
      <c r="I23" s="2" t="s">
        <v>30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34</v>
      </c>
      <c r="O23" s="3" t="s">
        <v>149</v>
      </c>
      <c r="P23">
        <f t="shared" si="0"/>
        <v>0</v>
      </c>
    </row>
    <row r="24" spans="1:16" x14ac:dyDescent="0.25">
      <c r="A24" s="29" t="s">
        <v>150</v>
      </c>
      <c r="B24" s="30" t="s">
        <v>18</v>
      </c>
      <c r="C24" s="30" t="s">
        <v>18</v>
      </c>
      <c r="D24" s="30" t="s">
        <v>18</v>
      </c>
      <c r="E24" s="34" t="s">
        <v>22</v>
      </c>
      <c r="F24" s="34" t="s">
        <v>22</v>
      </c>
      <c r="G24" s="34" t="s">
        <v>22</v>
      </c>
      <c r="H24" s="34" t="s">
        <v>22</v>
      </c>
      <c r="I24" s="30" t="s">
        <v>33</v>
      </c>
      <c r="J24" s="32">
        <v>0.625</v>
      </c>
      <c r="K24" s="32">
        <v>0.71875</v>
      </c>
      <c r="L24" s="32">
        <v>0.8125</v>
      </c>
      <c r="M24" s="32">
        <v>0.9375</v>
      </c>
      <c r="N24" s="33" t="s">
        <v>42</v>
      </c>
      <c r="O24" s="32" t="s">
        <v>22</v>
      </c>
      <c r="P24">
        <f t="shared" si="0"/>
        <v>1</v>
      </c>
    </row>
    <row r="25" spans="1:16" x14ac:dyDescent="0.25">
      <c r="A25" s="21" t="s">
        <v>62</v>
      </c>
      <c r="B25" s="1" t="s">
        <v>63</v>
      </c>
      <c r="C25" s="1" t="s">
        <v>63</v>
      </c>
      <c r="D25" s="1" t="s">
        <v>18</v>
      </c>
      <c r="E25" s="1" t="s">
        <v>18</v>
      </c>
      <c r="F25" s="1" t="s">
        <v>63</v>
      </c>
      <c r="G25" s="1" t="s">
        <v>18</v>
      </c>
      <c r="H25" s="1" t="s">
        <v>63</v>
      </c>
      <c r="I25" s="2" t="s">
        <v>64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42</v>
      </c>
      <c r="O25" s="3" t="s">
        <v>63</v>
      </c>
      <c r="P25">
        <f t="shared" si="0"/>
        <v>1</v>
      </c>
    </row>
    <row r="26" spans="1:16" x14ac:dyDescent="0.25">
      <c r="A26" s="21" t="s">
        <v>65</v>
      </c>
      <c r="B26" s="1" t="s">
        <v>66</v>
      </c>
      <c r="C26" s="1" t="s">
        <v>66</v>
      </c>
      <c r="D26" s="1" t="s">
        <v>66</v>
      </c>
      <c r="E26" s="1" t="s">
        <v>66</v>
      </c>
      <c r="F26" s="1" t="s">
        <v>18</v>
      </c>
      <c r="G26" s="1" t="s">
        <v>18</v>
      </c>
      <c r="H26" s="1" t="s">
        <v>18</v>
      </c>
      <c r="I26" s="2" t="s">
        <v>30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7" t="s">
        <v>20</v>
      </c>
      <c r="O26" s="3" t="s">
        <v>66</v>
      </c>
      <c r="P26">
        <f t="shared" si="0"/>
        <v>0</v>
      </c>
    </row>
    <row r="27" spans="1:16" x14ac:dyDescent="0.25">
      <c r="A27" s="21" t="s">
        <v>67</v>
      </c>
      <c r="B27" s="1" t="s">
        <v>68</v>
      </c>
      <c r="C27" s="1" t="s">
        <v>68</v>
      </c>
      <c r="D27" s="1" t="s">
        <v>68</v>
      </c>
      <c r="E27" s="1" t="s">
        <v>18</v>
      </c>
      <c r="F27" s="1" t="s">
        <v>18</v>
      </c>
      <c r="G27" s="1" t="s">
        <v>18</v>
      </c>
      <c r="H27" s="1" t="s">
        <v>68</v>
      </c>
      <c r="I27" s="2" t="s">
        <v>23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42</v>
      </c>
      <c r="O27" s="3" t="s">
        <v>68</v>
      </c>
      <c r="P27">
        <f t="shared" si="0"/>
        <v>0</v>
      </c>
    </row>
    <row r="28" spans="1:16" x14ac:dyDescent="0.25">
      <c r="A28" s="21" t="s">
        <v>69</v>
      </c>
      <c r="B28" s="1" t="s">
        <v>70</v>
      </c>
      <c r="C28" s="1" t="s">
        <v>70</v>
      </c>
      <c r="D28" s="1" t="s">
        <v>70</v>
      </c>
      <c r="E28" s="1" t="s">
        <v>70</v>
      </c>
      <c r="F28" s="1" t="s">
        <v>18</v>
      </c>
      <c r="G28" s="1" t="s">
        <v>18</v>
      </c>
      <c r="H28" s="1" t="s">
        <v>18</v>
      </c>
      <c r="I28" s="2" t="s">
        <v>30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34</v>
      </c>
      <c r="O28" s="3" t="s">
        <v>70</v>
      </c>
      <c r="P28">
        <f t="shared" si="0"/>
        <v>0</v>
      </c>
    </row>
    <row r="29" spans="1:16" x14ac:dyDescent="0.25">
      <c r="A29" s="21" t="s">
        <v>71</v>
      </c>
      <c r="B29" s="1" t="s">
        <v>25</v>
      </c>
      <c r="C29" s="1" t="s">
        <v>25</v>
      </c>
      <c r="D29" s="1" t="s">
        <v>18</v>
      </c>
      <c r="E29" s="1" t="s">
        <v>25</v>
      </c>
      <c r="F29" s="1" t="s">
        <v>25</v>
      </c>
      <c r="G29" s="1" t="s">
        <v>18</v>
      </c>
      <c r="H29" s="1" t="s">
        <v>18</v>
      </c>
      <c r="I29" s="2" t="s">
        <v>47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20</v>
      </c>
      <c r="O29" s="3" t="s">
        <v>25</v>
      </c>
      <c r="P29">
        <f t="shared" si="0"/>
        <v>0</v>
      </c>
    </row>
    <row r="30" spans="1:16" x14ac:dyDescent="0.25">
      <c r="A30" s="21" t="s">
        <v>72</v>
      </c>
      <c r="B30" s="1" t="s">
        <v>58</v>
      </c>
      <c r="C30" s="1" t="s">
        <v>58</v>
      </c>
      <c r="D30" s="1" t="s">
        <v>58</v>
      </c>
      <c r="E30" s="1" t="s">
        <v>58</v>
      </c>
      <c r="F30" s="1" t="s">
        <v>18</v>
      </c>
      <c r="G30" s="1" t="s">
        <v>18</v>
      </c>
      <c r="H30" s="1" t="s">
        <v>18</v>
      </c>
      <c r="I30" s="2" t="s">
        <v>30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20</v>
      </c>
      <c r="O30" s="3" t="s">
        <v>58</v>
      </c>
      <c r="P30">
        <f t="shared" si="0"/>
        <v>0</v>
      </c>
    </row>
    <row r="31" spans="1:16" x14ac:dyDescent="0.25">
      <c r="A31" s="21" t="s">
        <v>73</v>
      </c>
      <c r="B31" s="1" t="s">
        <v>74</v>
      </c>
      <c r="C31" s="1" t="s">
        <v>74</v>
      </c>
      <c r="D31" s="1" t="s">
        <v>74</v>
      </c>
      <c r="E31" s="1" t="s">
        <v>18</v>
      </c>
      <c r="F31" s="1" t="s">
        <v>18</v>
      </c>
      <c r="G31" s="1" t="s">
        <v>18</v>
      </c>
      <c r="H31" s="1" t="s">
        <v>74</v>
      </c>
      <c r="I31" s="2" t="s">
        <v>23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42</v>
      </c>
      <c r="O31" s="3" t="s">
        <v>74</v>
      </c>
      <c r="P31">
        <f t="shared" si="0"/>
        <v>0</v>
      </c>
    </row>
    <row r="32" spans="1:16" x14ac:dyDescent="0.25">
      <c r="A32" s="21" t="s">
        <v>75</v>
      </c>
      <c r="B32" s="1" t="s">
        <v>127</v>
      </c>
      <c r="C32" s="1" t="s">
        <v>127</v>
      </c>
      <c r="D32" s="1" t="s">
        <v>18</v>
      </c>
      <c r="E32" s="1" t="s">
        <v>18</v>
      </c>
      <c r="F32" s="1" t="s">
        <v>127</v>
      </c>
      <c r="G32" s="1" t="s">
        <v>127</v>
      </c>
      <c r="H32" s="1" t="s">
        <v>18</v>
      </c>
      <c r="I32" s="2" t="s">
        <v>144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142</v>
      </c>
      <c r="O32" s="3" t="s">
        <v>127</v>
      </c>
      <c r="P32">
        <f t="shared" si="0"/>
        <v>0</v>
      </c>
    </row>
    <row r="33" spans="1:16" x14ac:dyDescent="0.25">
      <c r="A33" s="21" t="s">
        <v>151</v>
      </c>
      <c r="B33" s="1" t="s">
        <v>100</v>
      </c>
      <c r="C33" s="1" t="s">
        <v>100</v>
      </c>
      <c r="D33" s="1" t="s">
        <v>100</v>
      </c>
      <c r="E33" s="1" t="s">
        <v>18</v>
      </c>
      <c r="F33" s="1" t="s">
        <v>18</v>
      </c>
      <c r="G33" s="1" t="s">
        <v>18</v>
      </c>
      <c r="H33" s="1" t="s">
        <v>100</v>
      </c>
      <c r="I33" s="2" t="s">
        <v>23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42</v>
      </c>
      <c r="O33" s="3" t="s">
        <v>100</v>
      </c>
      <c r="P33">
        <f t="shared" si="0"/>
        <v>1</v>
      </c>
    </row>
    <row r="34" spans="1:16" x14ac:dyDescent="0.25">
      <c r="A34" s="21" t="s">
        <v>77</v>
      </c>
      <c r="B34" s="1" t="s">
        <v>25</v>
      </c>
      <c r="C34" s="1" t="s">
        <v>18</v>
      </c>
      <c r="D34" s="1" t="s">
        <v>25</v>
      </c>
      <c r="E34" s="1" t="s">
        <v>25</v>
      </c>
      <c r="F34" s="1" t="s">
        <v>25</v>
      </c>
      <c r="G34" s="1" t="s">
        <v>18</v>
      </c>
      <c r="H34" s="1" t="s">
        <v>18</v>
      </c>
      <c r="I34" s="2" t="s">
        <v>44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142</v>
      </c>
      <c r="O34" s="3" t="s">
        <v>25</v>
      </c>
      <c r="P34">
        <f t="shared" si="0"/>
        <v>0</v>
      </c>
    </row>
    <row r="35" spans="1:16" x14ac:dyDescent="0.25">
      <c r="A35" s="21" t="s">
        <v>78</v>
      </c>
      <c r="B35" s="1" t="s">
        <v>18</v>
      </c>
      <c r="C35" s="1" t="s">
        <v>18</v>
      </c>
      <c r="D35" s="1" t="s">
        <v>79</v>
      </c>
      <c r="E35" s="1" t="s">
        <v>79</v>
      </c>
      <c r="F35" s="1" t="s">
        <v>79</v>
      </c>
      <c r="G35" s="1" t="s">
        <v>79</v>
      </c>
      <c r="H35" s="1" t="s">
        <v>18</v>
      </c>
      <c r="I35" s="2" t="s">
        <v>37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142</v>
      </c>
      <c r="O35" s="3" t="s">
        <v>79</v>
      </c>
      <c r="P35">
        <f t="shared" si="0"/>
        <v>1</v>
      </c>
    </row>
    <row r="36" spans="1:16" x14ac:dyDescent="0.25">
      <c r="A36" s="21" t="s">
        <v>80</v>
      </c>
      <c r="B36" s="1" t="s">
        <v>18</v>
      </c>
      <c r="C36" s="1" t="s">
        <v>46</v>
      </c>
      <c r="D36" s="1" t="s">
        <v>46</v>
      </c>
      <c r="E36" s="1" t="s">
        <v>46</v>
      </c>
      <c r="F36" s="1" t="s">
        <v>46</v>
      </c>
      <c r="G36" s="1" t="s">
        <v>18</v>
      </c>
      <c r="H36" s="1" t="s">
        <v>18</v>
      </c>
      <c r="I36" s="2" t="s">
        <v>49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142</v>
      </c>
      <c r="O36" s="3" t="s">
        <v>46</v>
      </c>
      <c r="P36">
        <f t="shared" si="0"/>
        <v>0</v>
      </c>
    </row>
    <row r="37" spans="1:16" x14ac:dyDescent="0.25">
      <c r="A37" s="21" t="s">
        <v>81</v>
      </c>
      <c r="B37" s="1" t="s">
        <v>89</v>
      </c>
      <c r="C37" s="1" t="s">
        <v>89</v>
      </c>
      <c r="D37" s="1" t="s">
        <v>18</v>
      </c>
      <c r="E37" s="1" t="s">
        <v>18</v>
      </c>
      <c r="F37" s="1" t="s">
        <v>18</v>
      </c>
      <c r="G37" s="1" t="s">
        <v>89</v>
      </c>
      <c r="H37" s="1" t="s">
        <v>89</v>
      </c>
      <c r="I37" s="2" t="s">
        <v>83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38</v>
      </c>
      <c r="O37" s="3" t="s">
        <v>89</v>
      </c>
      <c r="P37">
        <f t="shared" si="0"/>
        <v>1</v>
      </c>
    </row>
    <row r="38" spans="1:16" x14ac:dyDescent="0.25">
      <c r="A38" s="29" t="s">
        <v>84</v>
      </c>
      <c r="B38" s="30" t="s">
        <v>32</v>
      </c>
      <c r="C38" s="30" t="s">
        <v>32</v>
      </c>
      <c r="D38" s="30" t="s">
        <v>32</v>
      </c>
      <c r="E38" s="30" t="s">
        <v>32</v>
      </c>
      <c r="F38" s="30" t="s">
        <v>18</v>
      </c>
      <c r="G38" s="30" t="s">
        <v>18</v>
      </c>
      <c r="H38" s="30" t="s">
        <v>18</v>
      </c>
      <c r="I38" s="31" t="s">
        <v>30</v>
      </c>
      <c r="J38" s="32">
        <v>0.91666666666666663</v>
      </c>
      <c r="K38" s="32">
        <v>8.3333333333333329E-2</v>
      </c>
      <c r="L38" s="32">
        <v>0</v>
      </c>
      <c r="M38" s="32">
        <v>0.16666666666666666</v>
      </c>
      <c r="N38" s="33" t="s">
        <v>142</v>
      </c>
      <c r="O38" s="32" t="s">
        <v>32</v>
      </c>
      <c r="P38">
        <f t="shared" si="0"/>
        <v>1</v>
      </c>
    </row>
    <row r="39" spans="1:16" x14ac:dyDescent="0.25">
      <c r="A39" s="21" t="s">
        <v>87</v>
      </c>
      <c r="B39" s="1" t="s">
        <v>66</v>
      </c>
      <c r="C39" s="1" t="s">
        <v>66</v>
      </c>
      <c r="D39" s="1" t="s">
        <v>66</v>
      </c>
      <c r="E39" s="1" t="s">
        <v>66</v>
      </c>
      <c r="F39" s="1" t="s">
        <v>18</v>
      </c>
      <c r="G39" s="1" t="s">
        <v>18</v>
      </c>
      <c r="H39" s="1" t="s">
        <v>18</v>
      </c>
      <c r="I39" s="2" t="s">
        <v>30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20</v>
      </c>
      <c r="O39" s="3" t="s">
        <v>66</v>
      </c>
      <c r="P39">
        <f t="shared" si="0"/>
        <v>0</v>
      </c>
    </row>
    <row r="40" spans="1:16" x14ac:dyDescent="0.25">
      <c r="A40" s="21" t="s">
        <v>88</v>
      </c>
      <c r="B40" s="1" t="s">
        <v>46</v>
      </c>
      <c r="C40" s="1" t="s">
        <v>46</v>
      </c>
      <c r="D40" s="1" t="s">
        <v>46</v>
      </c>
      <c r="E40" s="1" t="s">
        <v>18</v>
      </c>
      <c r="F40" s="1" t="s">
        <v>18</v>
      </c>
      <c r="G40" s="1" t="s">
        <v>18</v>
      </c>
      <c r="H40" s="1" t="s">
        <v>46</v>
      </c>
      <c r="I40" s="2" t="s">
        <v>23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20</v>
      </c>
      <c r="O40" s="3" t="s">
        <v>46</v>
      </c>
      <c r="P40">
        <f t="shared" si="0"/>
        <v>0</v>
      </c>
    </row>
    <row r="41" spans="1:16" x14ac:dyDescent="0.25">
      <c r="A41" s="21" t="s">
        <v>91</v>
      </c>
      <c r="B41" s="1" t="s">
        <v>22</v>
      </c>
      <c r="C41" s="1" t="s">
        <v>22</v>
      </c>
      <c r="D41" s="1" t="s">
        <v>22</v>
      </c>
      <c r="E41" s="1" t="s">
        <v>22</v>
      </c>
      <c r="F41" s="1" t="s">
        <v>18</v>
      </c>
      <c r="G41" s="1" t="s">
        <v>18</v>
      </c>
      <c r="H41" s="1" t="s">
        <v>18</v>
      </c>
      <c r="I41" s="2" t="s">
        <v>30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142</v>
      </c>
      <c r="O41" s="3" t="s">
        <v>22</v>
      </c>
      <c r="P41">
        <f t="shared" si="0"/>
        <v>1</v>
      </c>
    </row>
    <row r="42" spans="1:16" x14ac:dyDescent="0.25">
      <c r="A42" s="21" t="s">
        <v>92</v>
      </c>
      <c r="B42" s="1" t="s">
        <v>18</v>
      </c>
      <c r="C42" s="1" t="s">
        <v>46</v>
      </c>
      <c r="D42" s="1" t="s">
        <v>46</v>
      </c>
      <c r="E42" s="1" t="s">
        <v>46</v>
      </c>
      <c r="F42" s="1" t="s">
        <v>46</v>
      </c>
      <c r="G42" s="1" t="s">
        <v>18</v>
      </c>
      <c r="H42" s="1" t="s">
        <v>18</v>
      </c>
      <c r="I42" s="2" t="s">
        <v>49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42</v>
      </c>
      <c r="O42" s="3" t="s">
        <v>46</v>
      </c>
      <c r="P42">
        <f t="shared" si="0"/>
        <v>0</v>
      </c>
    </row>
    <row r="43" spans="1:16" x14ac:dyDescent="0.25">
      <c r="A43" s="21" t="s">
        <v>93</v>
      </c>
      <c r="B43" s="1" t="s">
        <v>129</v>
      </c>
      <c r="C43" s="1" t="s">
        <v>129</v>
      </c>
      <c r="D43" s="1" t="s">
        <v>129</v>
      </c>
      <c r="E43" s="1" t="s">
        <v>18</v>
      </c>
      <c r="F43" s="1" t="s">
        <v>129</v>
      </c>
      <c r="G43" s="1" t="s">
        <v>18</v>
      </c>
      <c r="H43" s="1" t="s">
        <v>18</v>
      </c>
      <c r="I43" s="2" t="s">
        <v>26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38</v>
      </c>
      <c r="O43" s="3" t="s">
        <v>129</v>
      </c>
      <c r="P43">
        <f t="shared" si="0"/>
        <v>0</v>
      </c>
    </row>
    <row r="44" spans="1:16" x14ac:dyDescent="0.25">
      <c r="A44" s="21" t="s">
        <v>94</v>
      </c>
      <c r="B44" s="1" t="s">
        <v>25</v>
      </c>
      <c r="C44" s="1" t="s">
        <v>25</v>
      </c>
      <c r="D44" s="1" t="s">
        <v>25</v>
      </c>
      <c r="E44" s="1" t="s">
        <v>25</v>
      </c>
      <c r="F44" s="1" t="s">
        <v>18</v>
      </c>
      <c r="G44" s="1" t="s">
        <v>18</v>
      </c>
      <c r="H44" s="1" t="s">
        <v>18</v>
      </c>
      <c r="I44" s="2" t="s">
        <v>30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20</v>
      </c>
      <c r="O44" s="3" t="s">
        <v>25</v>
      </c>
      <c r="P44">
        <f t="shared" si="0"/>
        <v>0</v>
      </c>
    </row>
    <row r="45" spans="1:16" x14ac:dyDescent="0.25">
      <c r="A45" s="21" t="s">
        <v>95</v>
      </c>
      <c r="B45" s="1" t="s">
        <v>96</v>
      </c>
      <c r="C45" s="1" t="s">
        <v>96</v>
      </c>
      <c r="D45" s="1" t="s">
        <v>96</v>
      </c>
      <c r="E45" s="1" t="s">
        <v>18</v>
      </c>
      <c r="F45" s="1" t="s">
        <v>18</v>
      </c>
      <c r="G45" s="1" t="s">
        <v>96</v>
      </c>
      <c r="H45" s="1" t="s">
        <v>18</v>
      </c>
      <c r="I45" s="2" t="s">
        <v>97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42</v>
      </c>
      <c r="O45" s="3" t="s">
        <v>96</v>
      </c>
      <c r="P45">
        <f t="shared" si="0"/>
        <v>1</v>
      </c>
    </row>
    <row r="46" spans="1:16" x14ac:dyDescent="0.25">
      <c r="A46" s="21" t="s">
        <v>98</v>
      </c>
      <c r="B46" s="1" t="s">
        <v>25</v>
      </c>
      <c r="C46" s="1" t="s">
        <v>25</v>
      </c>
      <c r="D46" s="1" t="s">
        <v>25</v>
      </c>
      <c r="E46" s="1" t="s">
        <v>25</v>
      </c>
      <c r="F46" s="1" t="s">
        <v>18</v>
      </c>
      <c r="G46" s="1" t="s">
        <v>18</v>
      </c>
      <c r="H46" s="1" t="s">
        <v>18</v>
      </c>
      <c r="I46" s="2" t="s">
        <v>30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34</v>
      </c>
      <c r="O46" s="3" t="s">
        <v>25</v>
      </c>
      <c r="P46">
        <f t="shared" si="0"/>
        <v>0</v>
      </c>
    </row>
    <row r="47" spans="1:16" x14ac:dyDescent="0.25">
      <c r="A47" s="21" t="s">
        <v>99</v>
      </c>
      <c r="B47" s="1" t="s">
        <v>18</v>
      </c>
      <c r="C47" s="1" t="s">
        <v>100</v>
      </c>
      <c r="D47" s="1" t="s">
        <v>100</v>
      </c>
      <c r="E47" s="1" t="s">
        <v>100</v>
      </c>
      <c r="F47" s="1" t="s">
        <v>100</v>
      </c>
      <c r="G47" s="1" t="s">
        <v>18</v>
      </c>
      <c r="H47" s="1" t="s">
        <v>18</v>
      </c>
      <c r="I47" s="2" t="s">
        <v>49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142</v>
      </c>
      <c r="O47" s="3" t="s">
        <v>100</v>
      </c>
      <c r="P47">
        <f t="shared" si="0"/>
        <v>1</v>
      </c>
    </row>
    <row r="48" spans="1:16" x14ac:dyDescent="0.25">
      <c r="A48" s="21" t="s">
        <v>101</v>
      </c>
      <c r="B48" s="1" t="s">
        <v>25</v>
      </c>
      <c r="C48" s="1" t="s">
        <v>25</v>
      </c>
      <c r="D48" s="1" t="s">
        <v>18</v>
      </c>
      <c r="E48" s="1" t="s">
        <v>25</v>
      </c>
      <c r="F48" s="1" t="s">
        <v>25</v>
      </c>
      <c r="G48" s="1" t="s">
        <v>18</v>
      </c>
      <c r="H48" s="1" t="s">
        <v>18</v>
      </c>
      <c r="I48" s="2" t="s">
        <v>47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20</v>
      </c>
      <c r="O48" s="3" t="s">
        <v>25</v>
      </c>
      <c r="P48">
        <f t="shared" si="0"/>
        <v>0</v>
      </c>
    </row>
    <row r="49" spans="1:16" x14ac:dyDescent="0.25">
      <c r="A49" s="21" t="s">
        <v>102</v>
      </c>
      <c r="B49" s="1" t="s">
        <v>36</v>
      </c>
      <c r="C49" s="1" t="s">
        <v>36</v>
      </c>
      <c r="D49" s="1" t="s">
        <v>18</v>
      </c>
      <c r="E49" s="1" t="s">
        <v>36</v>
      </c>
      <c r="F49" s="1" t="s">
        <v>36</v>
      </c>
      <c r="G49" s="1" t="s">
        <v>18</v>
      </c>
      <c r="H49" s="1" t="s">
        <v>18</v>
      </c>
      <c r="I49" s="2" t="s">
        <v>47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34</v>
      </c>
      <c r="O49" s="3" t="s">
        <v>36</v>
      </c>
      <c r="P49">
        <f t="shared" si="0"/>
        <v>0</v>
      </c>
    </row>
    <row r="50" spans="1:16" x14ac:dyDescent="0.25">
      <c r="A50" s="21" t="s">
        <v>103</v>
      </c>
      <c r="B50" s="1" t="s">
        <v>127</v>
      </c>
      <c r="C50" s="1" t="s">
        <v>127</v>
      </c>
      <c r="D50" s="1" t="s">
        <v>127</v>
      </c>
      <c r="E50" s="1" t="s">
        <v>127</v>
      </c>
      <c r="F50" s="1" t="s">
        <v>18</v>
      </c>
      <c r="G50" s="1" t="s">
        <v>18</v>
      </c>
      <c r="H50" s="1" t="s">
        <v>18</v>
      </c>
      <c r="I50" s="2" t="s">
        <v>30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38</v>
      </c>
      <c r="O50" s="3" t="s">
        <v>127</v>
      </c>
      <c r="P50">
        <f t="shared" si="0"/>
        <v>0</v>
      </c>
    </row>
    <row r="51" spans="1:16" x14ac:dyDescent="0.25">
      <c r="A51" s="21" t="s">
        <v>104</v>
      </c>
      <c r="B51" s="1" t="s">
        <v>18</v>
      </c>
      <c r="C51" s="1" t="s">
        <v>18</v>
      </c>
      <c r="D51" s="1" t="s">
        <v>105</v>
      </c>
      <c r="E51" s="1" t="s">
        <v>105</v>
      </c>
      <c r="F51" s="1" t="s">
        <v>105</v>
      </c>
      <c r="G51" s="1" t="s">
        <v>105</v>
      </c>
      <c r="H51" s="1" t="s">
        <v>18</v>
      </c>
      <c r="I51" s="2" t="s">
        <v>106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42</v>
      </c>
      <c r="O51" s="1" t="s">
        <v>105</v>
      </c>
      <c r="P51">
        <f t="shared" si="0"/>
        <v>1</v>
      </c>
    </row>
    <row r="52" spans="1:16" x14ac:dyDescent="0.25">
      <c r="A52" s="21" t="s">
        <v>107</v>
      </c>
      <c r="B52" s="1" t="s">
        <v>36</v>
      </c>
      <c r="C52" s="1" t="s">
        <v>36</v>
      </c>
      <c r="D52" s="1" t="s">
        <v>36</v>
      </c>
      <c r="E52" s="1" t="s">
        <v>36</v>
      </c>
      <c r="F52" s="1" t="s">
        <v>18</v>
      </c>
      <c r="G52" s="1" t="s">
        <v>18</v>
      </c>
      <c r="H52" s="1" t="s">
        <v>18</v>
      </c>
      <c r="I52" s="2" t="s">
        <v>30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20</v>
      </c>
      <c r="O52" s="1" t="s">
        <v>36</v>
      </c>
      <c r="P52">
        <f t="shared" si="0"/>
        <v>0</v>
      </c>
    </row>
    <row r="53" spans="1:16" x14ac:dyDescent="0.25">
      <c r="A53" s="21" t="s">
        <v>108</v>
      </c>
      <c r="B53" s="1" t="s">
        <v>18</v>
      </c>
      <c r="C53" s="1" t="s">
        <v>36</v>
      </c>
      <c r="D53" s="1" t="s">
        <v>36</v>
      </c>
      <c r="E53" s="1" t="s">
        <v>36</v>
      </c>
      <c r="F53" s="1" t="s">
        <v>36</v>
      </c>
      <c r="G53" s="1" t="s">
        <v>18</v>
      </c>
      <c r="H53" s="1" t="s">
        <v>18</v>
      </c>
      <c r="I53" s="2" t="s">
        <v>49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34</v>
      </c>
      <c r="O53" s="1" t="s">
        <v>36</v>
      </c>
      <c r="P53">
        <f t="shared" si="0"/>
        <v>0</v>
      </c>
    </row>
    <row r="54" spans="1:16" x14ac:dyDescent="0.25">
      <c r="A54" s="21" t="s">
        <v>109</v>
      </c>
      <c r="B54" s="1" t="s">
        <v>68</v>
      </c>
      <c r="C54" s="1" t="s">
        <v>68</v>
      </c>
      <c r="D54" s="1" t="s">
        <v>18</v>
      </c>
      <c r="E54" s="1" t="s">
        <v>18</v>
      </c>
      <c r="F54" s="1" t="s">
        <v>18</v>
      </c>
      <c r="G54" s="1" t="s">
        <v>68</v>
      </c>
      <c r="H54" s="1" t="s">
        <v>68</v>
      </c>
      <c r="I54" s="2" t="s">
        <v>19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20</v>
      </c>
      <c r="O54" s="1" t="s">
        <v>68</v>
      </c>
      <c r="P54">
        <f t="shared" si="0"/>
        <v>0</v>
      </c>
    </row>
    <row r="55" spans="1:16" x14ac:dyDescent="0.25">
      <c r="A55" s="21" t="s">
        <v>110</v>
      </c>
      <c r="B55" s="1" t="s">
        <v>18</v>
      </c>
      <c r="C55" s="1" t="s">
        <v>18</v>
      </c>
      <c r="D55" s="1" t="s">
        <v>18</v>
      </c>
      <c r="E55" s="1" t="s">
        <v>82</v>
      </c>
      <c r="F55" s="1" t="s">
        <v>82</v>
      </c>
      <c r="G55" s="1" t="s">
        <v>82</v>
      </c>
      <c r="H55" s="1" t="s">
        <v>82</v>
      </c>
      <c r="I55" s="2" t="s">
        <v>33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42</v>
      </c>
      <c r="O55" s="1" t="s">
        <v>82</v>
      </c>
      <c r="P55">
        <f t="shared" si="0"/>
        <v>1</v>
      </c>
    </row>
    <row r="56" spans="1:16" x14ac:dyDescent="0.25">
      <c r="A56" s="21" t="s">
        <v>111</v>
      </c>
      <c r="B56" s="1" t="s">
        <v>112</v>
      </c>
      <c r="C56" s="1" t="s">
        <v>112</v>
      </c>
      <c r="D56" s="1" t="s">
        <v>112</v>
      </c>
      <c r="E56" s="1" t="s">
        <v>112</v>
      </c>
      <c r="F56" s="1" t="s">
        <v>18</v>
      </c>
      <c r="G56" s="1" t="s">
        <v>18</v>
      </c>
      <c r="H56" s="1" t="s">
        <v>18</v>
      </c>
      <c r="I56" s="2" t="s">
        <v>30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142</v>
      </c>
      <c r="O56" s="1" t="s">
        <v>112</v>
      </c>
      <c r="P56">
        <f t="shared" si="0"/>
        <v>1</v>
      </c>
    </row>
    <row r="57" spans="1:16" x14ac:dyDescent="0.25">
      <c r="A57" s="35" t="s">
        <v>113</v>
      </c>
      <c r="B57" s="1" t="s">
        <v>18</v>
      </c>
      <c r="C57" s="1" t="s">
        <v>18</v>
      </c>
      <c r="D57" s="1" t="s">
        <v>18</v>
      </c>
      <c r="E57" s="1" t="s">
        <v>70</v>
      </c>
      <c r="F57" s="1" t="s">
        <v>70</v>
      </c>
      <c r="G57" s="1" t="s">
        <v>70</v>
      </c>
      <c r="H57" s="1" t="s">
        <v>70</v>
      </c>
      <c r="I57" s="2" t="s">
        <v>114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42</v>
      </c>
      <c r="O57" s="3" t="s">
        <v>70</v>
      </c>
      <c r="P57">
        <f t="shared" si="0"/>
        <v>0</v>
      </c>
    </row>
    <row r="58" spans="1:16" x14ac:dyDescent="0.25">
      <c r="A58" s="21" t="s">
        <v>152</v>
      </c>
      <c r="B58" s="1" t="s">
        <v>18</v>
      </c>
      <c r="C58" s="1" t="s">
        <v>18</v>
      </c>
      <c r="D58" s="1" t="s">
        <v>54</v>
      </c>
      <c r="E58" s="1" t="s">
        <v>54</v>
      </c>
      <c r="F58" s="1" t="s">
        <v>54</v>
      </c>
      <c r="G58" s="1" t="s">
        <v>54</v>
      </c>
      <c r="H58" s="1" t="s">
        <v>18</v>
      </c>
      <c r="I58" s="2" t="s">
        <v>37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42</v>
      </c>
      <c r="O58" s="3" t="s">
        <v>54</v>
      </c>
      <c r="P58">
        <f t="shared" si="0"/>
        <v>0</v>
      </c>
    </row>
    <row r="59" spans="1:16" x14ac:dyDescent="0.25">
      <c r="A59" s="21" t="s">
        <v>115</v>
      </c>
      <c r="B59" s="1" t="s">
        <v>36</v>
      </c>
      <c r="C59" s="1" t="s">
        <v>18</v>
      </c>
      <c r="D59" s="1" t="s">
        <v>18</v>
      </c>
      <c r="E59" s="1" t="s">
        <v>18</v>
      </c>
      <c r="F59" s="1" t="s">
        <v>36</v>
      </c>
      <c r="G59" s="1" t="s">
        <v>36</v>
      </c>
      <c r="H59" s="1" t="s">
        <v>36</v>
      </c>
      <c r="I59" s="2" t="s">
        <v>41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42</v>
      </c>
      <c r="O59" s="3" t="s">
        <v>36</v>
      </c>
      <c r="P59">
        <f t="shared" si="0"/>
        <v>0</v>
      </c>
    </row>
    <row r="60" spans="1:16" x14ac:dyDescent="0.25">
      <c r="A60" s="21" t="s">
        <v>117</v>
      </c>
      <c r="B60" s="1" t="s">
        <v>36</v>
      </c>
      <c r="C60" s="1" t="s">
        <v>18</v>
      </c>
      <c r="D60" s="1" t="s">
        <v>18</v>
      </c>
      <c r="E60" s="1" t="s">
        <v>18</v>
      </c>
      <c r="F60" s="1" t="s">
        <v>36</v>
      </c>
      <c r="G60" s="1" t="s">
        <v>36</v>
      </c>
      <c r="H60" s="1" t="s">
        <v>36</v>
      </c>
      <c r="I60" s="2" t="s">
        <v>41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38</v>
      </c>
      <c r="O60" s="3" t="s">
        <v>36</v>
      </c>
      <c r="P60">
        <f t="shared" si="0"/>
        <v>0</v>
      </c>
    </row>
    <row r="61" spans="1:16" x14ac:dyDescent="0.25">
      <c r="A61" s="21" t="s">
        <v>119</v>
      </c>
      <c r="B61" s="5" t="s">
        <v>120</v>
      </c>
      <c r="C61" s="5" t="s">
        <v>120</v>
      </c>
      <c r="D61" s="1" t="s">
        <v>18</v>
      </c>
      <c r="E61" s="1" t="s">
        <v>18</v>
      </c>
      <c r="F61" s="1" t="s">
        <v>18</v>
      </c>
      <c r="G61" s="5" t="s">
        <v>120</v>
      </c>
      <c r="H61" s="5" t="s">
        <v>120</v>
      </c>
      <c r="I61" s="2" t="s">
        <v>83</v>
      </c>
      <c r="J61" s="5">
        <v>8.3333333333333329E-2</v>
      </c>
      <c r="K61" s="5">
        <v>0.16666666666666666</v>
      </c>
      <c r="L61" s="5">
        <v>0.29166666666666669</v>
      </c>
      <c r="M61" s="5">
        <v>0.41666666666666669</v>
      </c>
      <c r="N61" s="4" t="s">
        <v>121</v>
      </c>
      <c r="O61" s="5" t="s">
        <v>120</v>
      </c>
      <c r="P61">
        <f t="shared" si="0"/>
        <v>0</v>
      </c>
    </row>
    <row r="62" spans="1:16" x14ac:dyDescent="0.25">
      <c r="A62" s="21" t="s">
        <v>122</v>
      </c>
      <c r="B62" s="1" t="s">
        <v>18</v>
      </c>
      <c r="C62" s="1" t="s">
        <v>18</v>
      </c>
      <c r="D62" s="1" t="s">
        <v>123</v>
      </c>
      <c r="E62" s="1" t="s">
        <v>123</v>
      </c>
      <c r="F62" s="1" t="s">
        <v>18</v>
      </c>
      <c r="G62" s="1" t="s">
        <v>123</v>
      </c>
      <c r="H62" s="1" t="s">
        <v>123</v>
      </c>
      <c r="I62" s="2" t="s">
        <v>124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38</v>
      </c>
      <c r="O62" s="3" t="s">
        <v>123</v>
      </c>
      <c r="P62">
        <f t="shared" si="0"/>
        <v>1</v>
      </c>
    </row>
    <row r="63" spans="1:16" x14ac:dyDescent="0.25">
      <c r="A63" s="21" t="s">
        <v>125</v>
      </c>
      <c r="B63" s="1" t="s">
        <v>18</v>
      </c>
      <c r="C63" s="1" t="s">
        <v>18</v>
      </c>
      <c r="D63" s="1" t="s">
        <v>36</v>
      </c>
      <c r="E63" s="1" t="s">
        <v>36</v>
      </c>
      <c r="F63" s="1" t="s">
        <v>36</v>
      </c>
      <c r="G63" s="1" t="s">
        <v>36</v>
      </c>
      <c r="H63" s="1" t="s">
        <v>18</v>
      </c>
      <c r="I63" s="2" t="s">
        <v>37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142</v>
      </c>
      <c r="O63" s="3" t="s">
        <v>36</v>
      </c>
      <c r="P63">
        <f t="shared" si="0"/>
        <v>0</v>
      </c>
    </row>
    <row r="64" spans="1:16" x14ac:dyDescent="0.25">
      <c r="A64" s="21" t="s">
        <v>126</v>
      </c>
      <c r="B64" s="1" t="s">
        <v>127</v>
      </c>
      <c r="C64" s="1" t="s">
        <v>127</v>
      </c>
      <c r="D64" s="1" t="s">
        <v>18</v>
      </c>
      <c r="E64" s="1" t="s">
        <v>18</v>
      </c>
      <c r="F64" s="1" t="s">
        <v>18</v>
      </c>
      <c r="G64" s="1" t="s">
        <v>127</v>
      </c>
      <c r="H64" s="1" t="s">
        <v>127</v>
      </c>
      <c r="I64" s="2" t="s">
        <v>19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34</v>
      </c>
      <c r="O64" s="3" t="s">
        <v>127</v>
      </c>
      <c r="P64">
        <f t="shared" si="0"/>
        <v>0</v>
      </c>
    </row>
    <row r="65" spans="1:16" x14ac:dyDescent="0.25">
      <c r="A65" s="21" t="s">
        <v>130</v>
      </c>
      <c r="B65" s="1" t="s">
        <v>58</v>
      </c>
      <c r="C65" s="1" t="s">
        <v>58</v>
      </c>
      <c r="D65" s="1" t="s">
        <v>58</v>
      </c>
      <c r="E65" s="1" t="s">
        <v>18</v>
      </c>
      <c r="F65" s="1" t="s">
        <v>58</v>
      </c>
      <c r="G65" s="1" t="s">
        <v>18</v>
      </c>
      <c r="H65" s="1" t="s">
        <v>18</v>
      </c>
      <c r="I65" s="2" t="s">
        <v>26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38</v>
      </c>
      <c r="O65" s="3" t="s">
        <v>58</v>
      </c>
      <c r="P65">
        <f t="shared" si="0"/>
        <v>0</v>
      </c>
    </row>
    <row r="66" spans="1:16" x14ac:dyDescent="0.25">
      <c r="A66" s="21" t="s">
        <v>132</v>
      </c>
      <c r="B66" s="1" t="s">
        <v>70</v>
      </c>
      <c r="C66" s="1" t="s">
        <v>70</v>
      </c>
      <c r="D66" s="1" t="s">
        <v>70</v>
      </c>
      <c r="E66" s="1" t="s">
        <v>70</v>
      </c>
      <c r="F66" s="1" t="s">
        <v>18</v>
      </c>
      <c r="G66" s="1" t="s">
        <v>18</v>
      </c>
      <c r="H66" s="1" t="s">
        <v>18</v>
      </c>
      <c r="I66" s="36" t="s">
        <v>30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142</v>
      </c>
      <c r="O66" s="3" t="s">
        <v>70</v>
      </c>
      <c r="P66">
        <f t="shared" ref="P66:P68" si="1">IF(O66="OFF",0,
IF(VALUE(LEFT(O66,2))&lt;12,0,1))</f>
        <v>0</v>
      </c>
    </row>
    <row r="67" spans="1:16" x14ac:dyDescent="0.25">
      <c r="A67" s="29" t="s">
        <v>153</v>
      </c>
      <c r="B67" s="30" t="s">
        <v>127</v>
      </c>
      <c r="C67" s="30" t="s">
        <v>127</v>
      </c>
      <c r="D67" s="30" t="s">
        <v>127</v>
      </c>
      <c r="E67" s="30" t="s">
        <v>18</v>
      </c>
      <c r="F67" s="30" t="s">
        <v>18</v>
      </c>
      <c r="G67" s="30" t="s">
        <v>18</v>
      </c>
      <c r="H67" s="30" t="s">
        <v>127</v>
      </c>
      <c r="I67" s="31" t="s">
        <v>23</v>
      </c>
      <c r="J67" s="32">
        <v>0.36458333333333331</v>
      </c>
      <c r="K67" s="32">
        <v>0.57291666666666663</v>
      </c>
      <c r="L67" s="32">
        <v>0.44791666666666669</v>
      </c>
      <c r="M67" s="32">
        <v>0.67708333333333337</v>
      </c>
      <c r="N67" s="33" t="s">
        <v>42</v>
      </c>
      <c r="O67" s="32" t="s">
        <v>127</v>
      </c>
      <c r="P67">
        <f t="shared" si="1"/>
        <v>0</v>
      </c>
    </row>
    <row r="68" spans="1:16" x14ac:dyDescent="0.25">
      <c r="A68" s="21" t="s">
        <v>133</v>
      </c>
      <c r="B68" s="1" t="s">
        <v>25</v>
      </c>
      <c r="C68" s="1" t="s">
        <v>25</v>
      </c>
      <c r="D68" s="1" t="s">
        <v>25</v>
      </c>
      <c r="E68" s="1" t="s">
        <v>25</v>
      </c>
      <c r="F68" s="1" t="s">
        <v>18</v>
      </c>
      <c r="G68" s="1" t="s">
        <v>18</v>
      </c>
      <c r="H68" s="1" t="s">
        <v>18</v>
      </c>
      <c r="I68" s="2" t="s">
        <v>30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38</v>
      </c>
      <c r="O68" s="3" t="s">
        <v>25</v>
      </c>
      <c r="P68">
        <f t="shared" si="1"/>
        <v>0</v>
      </c>
    </row>
  </sheetData>
  <phoneticPr fontId="8" type="noConversion"/>
  <conditionalFormatting sqref="A2:I68">
    <cfRule type="cellIs" dxfId="24" priority="8" operator="equal">
      <formula>"OFF"</formula>
    </cfRule>
  </conditionalFormatting>
  <conditionalFormatting sqref="I61:I62">
    <cfRule type="cellIs" dxfId="23" priority="7" operator="equal">
      <formula>"OFF"</formula>
    </cfRule>
  </conditionalFormatting>
  <conditionalFormatting sqref="O12:O14">
    <cfRule type="cellIs" dxfId="22" priority="4" operator="equal">
      <formula>"OFF"</formula>
    </cfRule>
  </conditionalFormatting>
  <conditionalFormatting sqref="O51:O56">
    <cfRule type="cellIs" dxfId="21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C3" sqref="C3"/>
    </sheetView>
  </sheetViews>
  <sheetFormatPr defaultRowHeight="15" x14ac:dyDescent="0.25"/>
  <cols>
    <col min="1" max="1" width="24.5703125" bestFit="1" customWidth="1"/>
    <col min="2" max="2" width="12.85546875" customWidth="1"/>
    <col min="3" max="3" width="14.140625" customWidth="1"/>
    <col min="4" max="8" width="11.42578125" bestFit="1" customWidth="1"/>
    <col min="9" max="9" width="14" bestFit="1" customWidth="1"/>
    <col min="10" max="13" width="8.42578125" style="37" bestFit="1" customWidth="1"/>
    <col min="14" max="14" width="17.28515625" bestFit="1" customWidth="1"/>
    <col min="15" max="15" width="14.28515625" customWidth="1"/>
  </cols>
  <sheetData>
    <row r="1" spans="1:16" x14ac:dyDescent="0.25">
      <c r="A1" s="38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40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154</v>
      </c>
      <c r="P1" s="39" t="s">
        <v>15</v>
      </c>
    </row>
    <row r="2" spans="1:16" x14ac:dyDescent="0.25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 cm="1">
        <f t="array" ref="E2"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 cm="1">
        <f t="array" ref="F2"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 cm="1">
        <f t="array" ref="G2"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tr" cm="1">
        <f t="array" ref="H2">IFERROR(_xlfn.LET(_xlpm.s,SUBSTITUTE(IF(EST_OLD!$P2=1,EST_OLD!G2,EST_OLD!H2)," ",""),IF(_xlpm.s="OFF","OFF",TEXT(MOD(TIMEVALUE(_xlfn.TEXTBEFORE(_xlpm.s,"-"))+0.5,1),"hh:mm")&amp;" - "&amp;TEXT(MOD(TIMEVALUE(_xlfn.TEXTAFTER(_xlpm.s,"-"))+0.5,1),"hh:mm"))),IF(EST_OLD!$P2=1,'EST24'!G2,EST_OLD!H2))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15">
        <f>MOD(EST_OLD!J2+TIME(12,0,0),1)</f>
        <v>0.625</v>
      </c>
      <c r="K2" s="15">
        <f>MOD(EST_OLD!K2+TIME(12,0,0),1)</f>
        <v>0.85416666666666674</v>
      </c>
      <c r="L2" s="15">
        <f>MOD(EST_OLD!L2+TIME(12,0,0),1)</f>
        <v>0.76041666666666674</v>
      </c>
      <c r="M2" s="15">
        <f>MOD(EST_OLD!M2+TIME(12,0,0),1)</f>
        <v>0.94791666666666674</v>
      </c>
      <c r="N2" t="str">
        <f>EST_OLD!N2</f>
        <v>Remmo Panaligan</v>
      </c>
      <c r="O2" t="s">
        <v>22</v>
      </c>
      <c r="P2">
        <f>IF(
TIMEVALUE(LEFT(O2,FIND("-",O2)-1))&gt;=12/24,
0,
1
)</f>
        <v>0</v>
      </c>
    </row>
    <row r="3" spans="1:16" x14ac:dyDescent="0.25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tr" cm="1">
        <f t="array" ref="H3">IFERROR(_xlfn.LET(_xlpm.s,SUBSTITUTE(IF(EST_OLD!$P3=1,EST_OLD!G3,EST_OLD!H3)," ",""),IF(_xlpm.s="OFF","OFF",TEXT(MOD(TIMEVALUE(_xlfn.TEXTBEFORE(_xlpm.s,"-"))+0.5,1),"hh:mm")&amp;" - "&amp;TEXT(MOD(TIMEVALUE(_xlfn.TEXTAFTER(_xlpm.s,"-"))+0.5,1),"hh:mm"))),IF(EST_OLD!$P3=1,'EST24'!G3,EST_OLD!H3))</f>
        <v>OFF</v>
      </c>
      <c r="I3" t="str">
        <f t="shared" ref="I3:I66" si="1">_xlfn.TEXTJOIN(" - ",TRUE,
IF(B3="OFF","Mon",""),
IF(C3="OFF","Tue",""),
IF(D3="OFF","Wed",""),
IF(E3="OFF","Thu",""),
IF(F3="OFF","Fri",""),
IF(G3="OFF","Sat",""),
IF(H3="OFF","Sun",""))</f>
        <v>Fri - Sat - Sun</v>
      </c>
      <c r="J3" s="15">
        <f>MOD(EST_OLD!J3+TIME(12,0,0),1)</f>
        <v>0.11458333333333348</v>
      </c>
      <c r="K3" s="15">
        <f>MOD(EST_OLD!K3+TIME(12,0,0),1)</f>
        <v>0.3125</v>
      </c>
      <c r="L3" s="15">
        <f>MOD(EST_OLD!L3+TIME(12,0,0),1)</f>
        <v>0.1875</v>
      </c>
      <c r="M3" s="15">
        <f>MOD(EST_OLD!M3+TIME(12,0,0),1)</f>
        <v>0.41666666666666652</v>
      </c>
      <c r="N3" t="str">
        <f>EST_OLD!N3</f>
        <v>Remmo Panaligan</v>
      </c>
      <c r="O3" t="s">
        <v>17</v>
      </c>
      <c r="P3">
        <f t="shared" ref="P3:P65" si="2">IF(
TIMEVALUE(LEFT(O3,FIND("-",O3)-1))&gt;=12/24,
0,
1
)</f>
        <v>1</v>
      </c>
    </row>
    <row r="4" spans="1:16" x14ac:dyDescent="0.25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tr" cm="1">
        <f t="array" ref="H4">IFERROR(_xlfn.LET(_xlpm.s,SUBSTITUTE(IF(EST_OLD!$P4=1,EST_OLD!G4,EST_OLD!H4)," ",""),IF(_xlpm.s="OFF","OFF",TEXT(MOD(TIMEVALUE(_xlfn.TEXTBEFORE(_xlpm.s,"-"))+0.5,1),"hh:mm")&amp;" - "&amp;TEXT(MOD(TIMEVALUE(_xlfn.TEXTAFTER(_xlpm.s,"-"))+0.5,1),"hh:mm"))),IF(EST_OLD!$P4=1,'EST24'!G4,EST_OLD!H4))</f>
        <v>OFF</v>
      </c>
      <c r="I4" t="str">
        <f t="shared" si="1"/>
        <v>Thu - Sat - Sun</v>
      </c>
      <c r="J4" s="15">
        <f>MOD(EST_OLD!J4+TIME(12,0,0),1)</f>
        <v>0.91666666666666674</v>
      </c>
      <c r="K4" s="15">
        <f>MOD(EST_OLD!K4+TIME(12,0,0),1)</f>
        <v>0.125</v>
      </c>
      <c r="L4" s="15">
        <f>MOD(EST_OLD!L4+TIME(12,0,0),1)</f>
        <v>2.0833333333333481E-2</v>
      </c>
      <c r="M4" s="15">
        <f>MOD(EST_OLD!M4+TIME(12,0,0),1)</f>
        <v>0.23958333333333348</v>
      </c>
      <c r="N4" t="str">
        <f>EST_OLD!N4</f>
        <v>Charmane Briones</v>
      </c>
      <c r="O4" t="s">
        <v>32</v>
      </c>
      <c r="P4">
        <f t="shared" si="2"/>
        <v>0</v>
      </c>
    </row>
    <row r="5" spans="1:16" x14ac:dyDescent="0.25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tr" cm="1">
        <f t="array" ref="H5">IFERROR(_xlfn.LET(_xlpm.s,SUBSTITUTE(IF(EST_OLD!$P5=1,EST_OLD!G5,EST_OLD!H5)," ",""),IF(_xlpm.s="OFF","OFF",TEXT(MOD(TIMEVALUE(_xlfn.TEXTBEFORE(_xlpm.s,"-"))+0.5,1),"hh:mm")&amp;" - "&amp;TEXT(MOD(TIMEVALUE(_xlfn.TEXTAFTER(_xlpm.s,"-"))+0.5,1),"hh:mm"))),IF(EST_OLD!$P5=1,'EST24'!G5,EST_OLD!H5))</f>
        <v>OFF</v>
      </c>
      <c r="I5" t="str">
        <f t="shared" si="1"/>
        <v>Fri - Sat - Sun</v>
      </c>
      <c r="J5" s="15">
        <f>MOD(EST_OLD!J5+TIME(12,0,0),1)</f>
        <v>0.88541666666666674</v>
      </c>
      <c r="K5" s="15">
        <f>MOD(EST_OLD!K5+TIME(12,0,0),1)</f>
        <v>0.11458333333333348</v>
      </c>
      <c r="L5" s="15">
        <f>MOD(EST_OLD!L5+TIME(12,0,0),1)</f>
        <v>0.96875</v>
      </c>
      <c r="M5" s="15">
        <f>MOD(EST_OLD!M5+TIME(12,0,0),1)</f>
        <v>0.21875</v>
      </c>
      <c r="N5" t="str">
        <f>EST_OLD!N5</f>
        <v>Charmane Briones</v>
      </c>
      <c r="O5" t="s">
        <v>136</v>
      </c>
      <c r="P5">
        <f t="shared" si="2"/>
        <v>0</v>
      </c>
    </row>
    <row r="6" spans="1:16" x14ac:dyDescent="0.25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tr" cm="1">
        <f t="array" ref="H6">IFERROR(_xlfn.LET(_xlpm.s,SUBSTITUTE(IF(EST_OLD!$P6=1,EST_OLD!G6,EST_OLD!H6)," ",""),IF(_xlpm.s="OFF","OFF",TEXT(MOD(TIMEVALUE(_xlfn.TEXTBEFORE(_xlpm.s,"-"))+0.5,1),"hh:mm")&amp;" - "&amp;TEXT(MOD(TIMEVALUE(_xlfn.TEXTAFTER(_xlpm.s,"-"))+0.5,1),"hh:mm"))),IF(EST_OLD!$P6=1,'EST24'!G6,EST_OLD!H6))</f>
        <v>13:00 - 00:00</v>
      </c>
      <c r="I6" t="str">
        <f t="shared" si="1"/>
        <v>Wed - Thu - Fri</v>
      </c>
      <c r="J6" s="15">
        <f>MOD(EST_OLD!J6+TIME(12,0,0),1)</f>
        <v>0.625</v>
      </c>
      <c r="K6" s="15">
        <f>MOD(EST_OLD!K6+TIME(12,0,0),1)</f>
        <v>0.83333333333333326</v>
      </c>
      <c r="L6" s="15">
        <f>MOD(EST_OLD!L6+TIME(12,0,0),1)</f>
        <v>0.71875</v>
      </c>
      <c r="M6" s="15">
        <f>MOD(EST_OLD!M6+TIME(12,0,0),1)</f>
        <v>0.9375</v>
      </c>
      <c r="N6" t="str">
        <f>EST_OLD!N6</f>
        <v>Christopher Rodas</v>
      </c>
      <c r="O6" t="s">
        <v>22</v>
      </c>
      <c r="P6">
        <f t="shared" si="2"/>
        <v>0</v>
      </c>
    </row>
    <row r="7" spans="1:16" x14ac:dyDescent="0.25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tr" cm="1">
        <f t="array" ref="H7">IFERROR(_xlfn.LET(_xlpm.s,SUBSTITUTE(IF(EST_OLD!$P7=1,EST_OLD!G7,EST_OLD!H7)," ",""),IF(_xlpm.s="OFF","OFF",TEXT(MOD(TIMEVALUE(_xlfn.TEXTBEFORE(_xlpm.s,"-"))+0.5,1),"hh:mm")&amp;" - "&amp;TEXT(MOD(TIMEVALUE(_xlfn.TEXTAFTER(_xlpm.s,"-"))+0.5,1),"hh:mm"))),IF(EST_OLD!$P7=1,'EST24'!G7,EST_OLD!H7))</f>
        <v>10:00 - 21:00</v>
      </c>
      <c r="I7" t="str">
        <f t="shared" si="1"/>
        <v>Tue - Wed - Thu</v>
      </c>
      <c r="J7" s="15">
        <f>MOD(EST_OLD!J7+TIME(12,0,0),1)</f>
        <v>0.51041666666666663</v>
      </c>
      <c r="K7" s="15">
        <f>MOD(EST_OLD!K7+TIME(12,0,0),1)</f>
        <v>0.59375</v>
      </c>
      <c r="L7" s="15">
        <f>MOD(EST_OLD!L7+TIME(12,0,0),1)</f>
        <v>0.77083333333333326</v>
      </c>
      <c r="M7" s="15">
        <f>MOD(EST_OLD!M7+TIME(12,0,0),1)</f>
        <v>0.6875</v>
      </c>
      <c r="N7" t="str">
        <f>EST_OLD!N7</f>
        <v>Michael Dominguez</v>
      </c>
      <c r="O7" t="s">
        <v>70</v>
      </c>
      <c r="P7">
        <f t="shared" si="2"/>
        <v>1</v>
      </c>
    </row>
    <row r="8" spans="1:16" x14ac:dyDescent="0.25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tr" cm="1">
        <f t="array" ref="H8">IFERROR(_xlfn.LET(_xlpm.s,SUBSTITUTE(IF(EST_OLD!$P8=1,EST_OLD!G8,EST_OLD!H8)," ",""),IF(_xlpm.s="OFF","OFF",TEXT(MOD(TIMEVALUE(_xlfn.TEXTBEFORE(_xlpm.s,"-"))+0.5,1),"hh:mm")&amp;" - "&amp;TEXT(MOD(TIMEVALUE(_xlfn.TEXTAFTER(_xlpm.s,"-"))+0.5,1),"hh:mm"))),IF(EST_OLD!$P8=1,'EST24'!G8,EST_OLD!H8))</f>
        <v>OFF</v>
      </c>
      <c r="I8" t="str">
        <f t="shared" si="1"/>
        <v>Wed - Thu - Sun</v>
      </c>
      <c r="J8" s="15">
        <f>MOD(EST_OLD!J8+TIME(12,0,0),1)</f>
        <v>0</v>
      </c>
      <c r="K8" s="15">
        <f>MOD(EST_OLD!K8+TIME(12,0,0),1)</f>
        <v>0.25</v>
      </c>
      <c r="L8" s="15">
        <f>MOD(EST_OLD!L8+TIME(12,0,0),1)</f>
        <v>0.11458333333333348</v>
      </c>
      <c r="M8" s="15">
        <f>MOD(EST_OLD!M8+TIME(12,0,0),1)</f>
        <v>0.35416666666666652</v>
      </c>
      <c r="N8" t="str">
        <f>EST_OLD!N8</f>
        <v>Anmecha Valencia</v>
      </c>
      <c r="O8" t="s">
        <v>123</v>
      </c>
      <c r="P8">
        <f t="shared" si="2"/>
        <v>0</v>
      </c>
    </row>
    <row r="9" spans="1:16" x14ac:dyDescent="0.25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tr" cm="1">
        <f t="array" ref="H9">IFERROR(_xlfn.LET(_xlpm.s,SUBSTITUTE(IF(EST_OLD!$P9=1,EST_OLD!G9,EST_OLD!H9)," ",""),IF(_xlpm.s="OFF","OFF",TEXT(MOD(TIMEVALUE(_xlfn.TEXTBEFORE(_xlpm.s,"-"))+0.5,1),"hh:mm")&amp;" - "&amp;TEXT(MOD(TIMEVALUE(_xlfn.TEXTAFTER(_xlpm.s,"-"))+0.5,1),"hh:mm"))),IF(EST_OLD!$P9=1,'EST24'!G9,EST_OLD!H9))</f>
        <v>OFF</v>
      </c>
      <c r="I9" t="str">
        <f t="shared" si="1"/>
        <v>Thu - Sat - Sun</v>
      </c>
      <c r="J9" s="15">
        <f>MOD(EST_OLD!J9+TIME(12,0,0),1)</f>
        <v>0.97916666666666674</v>
      </c>
      <c r="K9" s="15">
        <f>MOD(EST_OLD!K9+TIME(12,0,0),1)</f>
        <v>0.125</v>
      </c>
      <c r="L9" s="15">
        <f>MOD(EST_OLD!L9+TIME(12,0,0),1)</f>
        <v>5.2083333333333481E-2</v>
      </c>
      <c r="M9" s="15">
        <f>MOD(EST_OLD!M9+TIME(12,0,0),1)</f>
        <v>0.27083333333333348</v>
      </c>
      <c r="N9" t="str">
        <f>EST_OLD!N9</f>
        <v>Michael Dominguez</v>
      </c>
      <c r="O9" t="s">
        <v>82</v>
      </c>
      <c r="P9">
        <f t="shared" si="2"/>
        <v>0</v>
      </c>
    </row>
    <row r="10" spans="1:16" x14ac:dyDescent="0.25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tr" cm="1">
        <f t="array" ref="H10">IFERROR(_xlfn.LET(_xlpm.s,SUBSTITUTE(IF(EST_OLD!$P10=1,EST_OLD!G10,EST_OLD!H10)," ",""),IF(_xlpm.s="OFF","OFF",TEXT(MOD(TIMEVALUE(_xlfn.TEXTBEFORE(_xlpm.s,"-"))+0.5,1),"hh:mm")&amp;" - "&amp;TEXT(MOD(TIMEVALUE(_xlfn.TEXTAFTER(_xlpm.s,"-"))+0.5,1),"hh:mm"))),IF(EST_OLD!$P10=1,'EST24'!G10,EST_OLD!H10))</f>
        <v>21:00 - 08:00</v>
      </c>
      <c r="I10" t="str">
        <f t="shared" si="1"/>
        <v>Wed - Thu - Fri</v>
      </c>
      <c r="J10" s="15">
        <f>MOD(EST_OLD!J10+TIME(12,0,0),1)</f>
        <v>0.92708333333333326</v>
      </c>
      <c r="K10" s="15">
        <f>MOD(EST_OLD!K10+TIME(12,0,0),1)</f>
        <v>0.13541666666666652</v>
      </c>
      <c r="L10" s="15">
        <f>MOD(EST_OLD!L10+TIME(12,0,0),1)</f>
        <v>1.0416666666666519E-2</v>
      </c>
      <c r="M10" s="15">
        <f>MOD(EST_OLD!M10+TIME(12,0,0),1)</f>
        <v>0.25</v>
      </c>
      <c r="N10" t="str">
        <f>EST_OLD!N10</f>
        <v>Christopher Rodas</v>
      </c>
      <c r="O10" t="s">
        <v>82</v>
      </c>
      <c r="P10">
        <f t="shared" si="2"/>
        <v>0</v>
      </c>
    </row>
    <row r="11" spans="1:16" x14ac:dyDescent="0.25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tr" cm="1">
        <f t="array" ref="H11">IFERROR(_xlfn.LET(_xlpm.s,SUBSTITUTE(IF(EST_OLD!$P11=1,EST_OLD!G11,EST_OLD!H11)," ",""),IF(_xlpm.s="OFF","OFF",TEXT(MOD(TIMEVALUE(_xlfn.TEXTBEFORE(_xlpm.s,"-"))+0.5,1),"hh:mm")&amp;" - "&amp;TEXT(MOD(TIMEVALUE(_xlfn.TEXTAFTER(_xlpm.s,"-"))+0.5,1),"hh:mm"))),IF(EST_OLD!$P11=1,'EST24'!G11,EST_OLD!H11))</f>
        <v>20:00 - 07:00</v>
      </c>
      <c r="I11" t="str">
        <f t="shared" si="1"/>
        <v>Tue - Wed - Thu</v>
      </c>
      <c r="J11" s="15">
        <f>MOD(EST_OLD!J11+TIME(12,0,0),1)</f>
        <v>0.89583333333333326</v>
      </c>
      <c r="K11" s="15">
        <f>MOD(EST_OLD!K11+TIME(12,0,0),1)</f>
        <v>0.125</v>
      </c>
      <c r="L11" s="15">
        <f>MOD(EST_OLD!L11+TIME(12,0,0),1)</f>
        <v>0</v>
      </c>
      <c r="M11" s="15">
        <f>MOD(EST_OLD!M11+TIME(12,0,0),1)</f>
        <v>0.22916666666666652</v>
      </c>
      <c r="N11" t="str">
        <f>EST_OLD!N11</f>
        <v>Charmane Briones</v>
      </c>
      <c r="O11" t="s">
        <v>32</v>
      </c>
      <c r="P11">
        <f t="shared" si="2"/>
        <v>0</v>
      </c>
    </row>
    <row r="12" spans="1:16" x14ac:dyDescent="0.25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tr" cm="1">
        <f t="array" ref="H12">IFERROR(_xlfn.LET(_xlpm.s,SUBSTITUTE(IF(EST_OLD!$P12=1,EST_OLD!G12,EST_OLD!H12)," ",""),IF(_xlpm.s="OFF","OFF",TEXT(MOD(TIMEVALUE(_xlfn.TEXTBEFORE(_xlpm.s,"-"))+0.5,1),"hh:mm")&amp;" - "&amp;TEXT(MOD(TIMEVALUE(_xlfn.TEXTAFTER(_xlpm.s,"-"))+0.5,1),"hh:mm"))),IF(EST_OLD!$P12=1,'EST24'!G12,EST_OLD!H12))</f>
        <v>OFF</v>
      </c>
      <c r="I12" t="str">
        <f t="shared" si="1"/>
        <v>Tue - Sat - Sun</v>
      </c>
      <c r="J12" s="15">
        <f>MOD(EST_OLD!J12+TIME(12,0,0),1)</f>
        <v>0.95833333333333326</v>
      </c>
      <c r="K12" s="15">
        <f>MOD(EST_OLD!K12+TIME(12,0,0),1)</f>
        <v>6.25E-2</v>
      </c>
      <c r="L12" s="15">
        <f>MOD(EST_OLD!L12+TIME(12,0,0),1)</f>
        <v>0.25</v>
      </c>
      <c r="M12" s="15">
        <f>MOD(EST_OLD!M12+TIME(12,0,0),1)</f>
        <v>0.15625</v>
      </c>
      <c r="N12" t="str">
        <f>EST_OLD!N12</f>
        <v>Anmecha Valencia</v>
      </c>
      <c r="O12" t="s">
        <v>82</v>
      </c>
      <c r="P12">
        <f t="shared" si="2"/>
        <v>0</v>
      </c>
    </row>
    <row r="13" spans="1:16" x14ac:dyDescent="0.25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tr" cm="1">
        <f t="array" ref="H13">IFERROR(_xlfn.LET(_xlpm.s,SUBSTITUTE(IF(EST_OLD!$P13=1,EST_OLD!G13,EST_OLD!H13)," ",""),IF(_xlpm.s="OFF","OFF",TEXT(MOD(TIMEVALUE(_xlfn.TEXTBEFORE(_xlpm.s,"-"))+0.5,1),"hh:mm")&amp;" - "&amp;TEXT(MOD(TIMEVALUE(_xlfn.TEXTAFTER(_xlpm.s,"-"))+0.5,1),"hh:mm"))),IF(EST_OLD!$P13=1,'EST24'!G13,EST_OLD!H13))</f>
        <v>OFF</v>
      </c>
      <c r="I13" t="str">
        <f t="shared" si="1"/>
        <v>Wed - Sat - Sun</v>
      </c>
      <c r="J13" s="15">
        <f>MOD(EST_OLD!J13+TIME(12,0,0),1)</f>
        <v>0.69791666666666663</v>
      </c>
      <c r="K13" s="15">
        <f>MOD(EST_OLD!K13+TIME(12,0,0),1)</f>
        <v>0.9375</v>
      </c>
      <c r="L13" s="15">
        <f>MOD(EST_OLD!L13+TIME(12,0,0),1)</f>
        <v>0.8125</v>
      </c>
      <c r="M13" s="15">
        <f>MOD(EST_OLD!M13+TIME(12,0,0),1)</f>
        <v>4.1666666666666519E-2</v>
      </c>
      <c r="N13" t="str">
        <f>EST_OLD!N13</f>
        <v>Anmecha Valencia</v>
      </c>
      <c r="O13" t="s">
        <v>137</v>
      </c>
      <c r="P13">
        <f t="shared" si="2"/>
        <v>0</v>
      </c>
    </row>
    <row r="14" spans="1:16" x14ac:dyDescent="0.25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tr" cm="1">
        <f t="array" ref="H14">IFERROR(_xlfn.LET(_xlpm.s,SUBSTITUTE(IF(EST_OLD!$P14=1,EST_OLD!G14,EST_OLD!H14)," ",""),IF(_xlpm.s="OFF","OFF",TEXT(MOD(TIMEVALUE(_xlfn.TEXTBEFORE(_xlpm.s,"-"))+0.5,1),"hh:mm")&amp;" - "&amp;TEXT(MOD(TIMEVALUE(_xlfn.TEXTAFTER(_xlpm.s,"-"))+0.5,1),"hh:mm"))),IF(EST_OLD!$P14=1,'EST24'!G14,EST_OLD!H14))</f>
        <v>OFF</v>
      </c>
      <c r="I14" t="str">
        <f t="shared" si="1"/>
        <v>Mon - Sat - Sun</v>
      </c>
      <c r="J14" s="15">
        <f>MOD(EST_OLD!J14+TIME(12,0,0),1)</f>
        <v>0.95833333333333326</v>
      </c>
      <c r="K14" s="15">
        <f>MOD(EST_OLD!K14+TIME(12,0,0),1)</f>
        <v>4.1666666666666519E-2</v>
      </c>
      <c r="L14" s="15">
        <f>MOD(EST_OLD!L14+TIME(12,0,0),1)</f>
        <v>0.14583333333333348</v>
      </c>
      <c r="M14" s="15">
        <f>MOD(EST_OLD!M14+TIME(12,0,0),1)</f>
        <v>0.26041666666666652</v>
      </c>
      <c r="N14" t="str">
        <f>EST_OLD!N14</f>
        <v>Michael Dominguez</v>
      </c>
      <c r="O14" t="s">
        <v>82</v>
      </c>
      <c r="P14">
        <f t="shared" si="2"/>
        <v>0</v>
      </c>
    </row>
    <row r="15" spans="1:16" x14ac:dyDescent="0.25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tr" cm="1">
        <f t="array" ref="H15">IFERROR(_xlfn.LET(_xlpm.s,SUBSTITUTE(IF(EST_OLD!$P15=1,EST_OLD!G15,EST_OLD!H15)," ",""),IF(_xlpm.s="OFF","OFF",TEXT(MOD(TIMEVALUE(_xlfn.TEXTBEFORE(_xlpm.s,"-"))+0.5,1),"hh:mm")&amp;" - "&amp;TEXT(MOD(TIMEVALUE(_xlfn.TEXTAFTER(_xlpm.s,"-"))+0.5,1),"hh:mm"))),IF(EST_OLD!$P15=1,'EST24'!G15,EST_OLD!H15))</f>
        <v>OFF</v>
      </c>
      <c r="I15" t="str">
        <f t="shared" si="1"/>
        <v>Fri - Sat - Sun</v>
      </c>
      <c r="J15" s="15">
        <f>MOD(EST_OLD!J15+TIME(12,0,0),1)</f>
        <v>0.89583333333333326</v>
      </c>
      <c r="K15" s="15">
        <f>MOD(EST_OLD!K15+TIME(12,0,0),1)</f>
        <v>0.10416666666666652</v>
      </c>
      <c r="L15" s="15">
        <f>MOD(EST_OLD!L15+TIME(12,0,0),1)</f>
        <v>0.97916666666666674</v>
      </c>
      <c r="M15" s="15">
        <f>MOD(EST_OLD!M15+TIME(12,0,0),1)</f>
        <v>0.22916666666666652</v>
      </c>
      <c r="N15" t="str">
        <f>EST_OLD!N15</f>
        <v>Christopher Rodas</v>
      </c>
      <c r="O15" t="s">
        <v>136</v>
      </c>
      <c r="P15">
        <f t="shared" si="2"/>
        <v>0</v>
      </c>
    </row>
    <row r="16" spans="1:16" x14ac:dyDescent="0.25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tr" cm="1">
        <f t="array" ref="H16">IFERROR(_xlfn.LET(_xlpm.s,SUBSTITUTE(IF(EST_OLD!$P16=1,EST_OLD!G16,EST_OLD!H16)," ",""),IF(_xlpm.s="OFF","OFF",TEXT(MOD(TIMEVALUE(_xlfn.TEXTBEFORE(_xlpm.s,"-"))+0.5,1),"hh:mm")&amp;" - "&amp;TEXT(MOD(TIMEVALUE(_xlfn.TEXTAFTER(_xlpm.s,"-"))+0.5,1),"hh:mm"))),IF(EST_OLD!$P16=1,'EST24'!G16,EST_OLD!H16))</f>
        <v>OFF</v>
      </c>
      <c r="I16" t="str">
        <f t="shared" si="1"/>
        <v>Fri - Sat - Sun</v>
      </c>
      <c r="J16" s="15">
        <f>MOD(EST_OLD!J16+TIME(12,0,0),1)</f>
        <v>9.375E-2</v>
      </c>
      <c r="K16" s="15">
        <f>MOD(EST_OLD!K16+TIME(12,0,0),1)</f>
        <v>0.34375</v>
      </c>
      <c r="L16" s="15">
        <f>MOD(EST_OLD!L16+TIME(12,0,0),1)</f>
        <v>0.23958333333333348</v>
      </c>
      <c r="M16" s="15">
        <f>MOD(EST_OLD!M16+TIME(12,0,0),1)</f>
        <v>0.44791666666666652</v>
      </c>
      <c r="N16" t="str">
        <f>EST_OLD!N16</f>
        <v>Charmane Briones</v>
      </c>
      <c r="O16" t="s">
        <v>17</v>
      </c>
      <c r="P16">
        <f t="shared" si="2"/>
        <v>1</v>
      </c>
    </row>
    <row r="17" spans="1:16" x14ac:dyDescent="0.25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tr" cm="1">
        <f t="array" ref="H17">IFERROR(_xlfn.LET(_xlpm.s,SUBSTITUTE(IF(EST_OLD!$P17=1,EST_OLD!G17,EST_OLD!H17)," ",""),IF(_xlpm.s="OFF","OFF",TEXT(MOD(TIMEVALUE(_xlfn.TEXTBEFORE(_xlpm.s,"-"))+0.5,1),"hh:mm")&amp;" - "&amp;TEXT(MOD(TIMEVALUE(_xlfn.TEXTAFTER(_xlpm.s,"-"))+0.5,1),"hh:mm"))),IF(EST_OLD!$P17=1,'EST24'!G17,EST_OLD!H17))</f>
        <v>OFF</v>
      </c>
      <c r="I17" t="str">
        <f t="shared" si="1"/>
        <v>Fri - Sat - Sun</v>
      </c>
      <c r="J17" s="15">
        <f>MOD(EST_OLD!J17+TIME(12,0,0),1)</f>
        <v>0.73958333333333337</v>
      </c>
      <c r="K17" s="15">
        <f>MOD(EST_OLD!K17+TIME(12,0,0),1)</f>
        <v>2.0833333333333481E-2</v>
      </c>
      <c r="L17" s="15">
        <f>MOD(EST_OLD!L17+TIME(12,0,0),1)</f>
        <v>0.85416666666666674</v>
      </c>
      <c r="M17" s="15">
        <f>MOD(EST_OLD!M17+TIME(12,0,0),1)</f>
        <v>8.3333333333333481E-2</v>
      </c>
      <c r="N17" t="str">
        <f>EST_OLD!N17</f>
        <v>Charmane Briones</v>
      </c>
      <c r="O17" t="s">
        <v>138</v>
      </c>
      <c r="P17">
        <f t="shared" si="2"/>
        <v>0</v>
      </c>
    </row>
    <row r="18" spans="1:16" x14ac:dyDescent="0.25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tr" cm="1">
        <f t="array" ref="H18">IFERROR(_xlfn.LET(_xlpm.s,SUBSTITUTE(IF(EST_OLD!$P18=1,EST_OLD!G18,EST_OLD!H18)," ",""),IF(_xlpm.s="OFF","OFF",TEXT(MOD(TIMEVALUE(_xlfn.TEXTBEFORE(_xlpm.s,"-"))+0.5,1),"hh:mm")&amp;" - "&amp;TEXT(MOD(TIMEVALUE(_xlfn.TEXTAFTER(_xlpm.s,"-"))+0.5,1),"hh:mm"))),IF(EST_OLD!$P18=1,'EST24'!G18,EST_OLD!H18))</f>
        <v>20:00 - 07:00</v>
      </c>
      <c r="I18" t="str">
        <f t="shared" si="1"/>
        <v>Wed - Thu - Fri</v>
      </c>
      <c r="J18" s="15">
        <f>MOD(EST_OLD!J18+TIME(12,0,0),1)</f>
        <v>0.9375</v>
      </c>
      <c r="K18" s="15">
        <f>MOD(EST_OLD!K18+TIME(12,0,0),1)</f>
        <v>0.14583333333333348</v>
      </c>
      <c r="L18" s="15">
        <f>MOD(EST_OLD!L18+TIME(12,0,0),1)</f>
        <v>2.0833333333333481E-2</v>
      </c>
      <c r="M18" s="15">
        <f>MOD(EST_OLD!M18+TIME(12,0,0),1)</f>
        <v>0.25</v>
      </c>
      <c r="N18" t="str">
        <f>EST_OLD!N18</f>
        <v>Charmane Briones</v>
      </c>
      <c r="O18" t="s">
        <v>32</v>
      </c>
      <c r="P18">
        <f t="shared" si="2"/>
        <v>0</v>
      </c>
    </row>
    <row r="19" spans="1:16" x14ac:dyDescent="0.25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tr" cm="1">
        <f t="array" ref="H19">IFERROR(_xlfn.LET(_xlpm.s,SUBSTITUTE(IF(EST_OLD!$P19=1,EST_OLD!G19,EST_OLD!H19)," ",""),IF(_xlpm.s="OFF","OFF",TEXT(MOD(TIMEVALUE(_xlfn.TEXTBEFORE(_xlpm.s,"-"))+0.5,1),"hh:mm")&amp;" - "&amp;TEXT(MOD(TIMEVALUE(_xlfn.TEXTAFTER(_xlpm.s,"-"))+0.5,1),"hh:mm"))),IF(EST_OLD!$P19=1,'EST24'!G19,EST_OLD!H19))</f>
        <v>OFF</v>
      </c>
      <c r="I19" t="str">
        <f t="shared" si="1"/>
        <v>Fri - Sat - Sun</v>
      </c>
      <c r="J19" s="15">
        <f>MOD(EST_OLD!J19+TIME(12,0,0),1)</f>
        <v>4.1666666666666519E-2</v>
      </c>
      <c r="K19" s="15">
        <f>MOD(EST_OLD!K19+TIME(12,0,0),1)</f>
        <v>0.26041666666666652</v>
      </c>
      <c r="L19" s="15">
        <f>MOD(EST_OLD!L19+TIME(12,0,0),1)</f>
        <v>0.15625</v>
      </c>
      <c r="M19" s="15">
        <f>MOD(EST_OLD!M19+TIME(12,0,0),1)</f>
        <v>0.36458333333333348</v>
      </c>
      <c r="N19" t="str">
        <f>EST_OLD!N19</f>
        <v>Anmecha Valencia</v>
      </c>
      <c r="O19" t="s">
        <v>123</v>
      </c>
      <c r="P19">
        <f t="shared" si="2"/>
        <v>0</v>
      </c>
    </row>
    <row r="20" spans="1:16" x14ac:dyDescent="0.25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tr" cm="1">
        <f t="array" ref="H20">IFERROR(_xlfn.LET(_xlpm.s,SUBSTITUTE(IF(EST_OLD!$P20=1,EST_OLD!G20,EST_OLD!H20)," ",""),IF(_xlpm.s="OFF","OFF",TEXT(MOD(TIMEVALUE(_xlfn.TEXTBEFORE(_xlpm.s,"-"))+0.5,1),"hh:mm")&amp;" - "&amp;TEXT(MOD(TIMEVALUE(_xlfn.TEXTAFTER(_xlpm.s,"-"))+0.5,1),"hh:mm"))),IF(EST_OLD!$P20=1,'EST24'!G20,EST_OLD!H20))</f>
        <v>OFF</v>
      </c>
      <c r="I20" t="str">
        <f t="shared" si="1"/>
        <v>Thu - Sat - Sun</v>
      </c>
      <c r="J20" s="15">
        <f>MOD(EST_OLD!J20+TIME(12,0,0),1)</f>
        <v>0.92708333333333326</v>
      </c>
      <c r="K20" s="15">
        <f>MOD(EST_OLD!K20+TIME(12,0,0),1)</f>
        <v>0.12847222222222232</v>
      </c>
      <c r="L20" s="15">
        <f>MOD(EST_OLD!L20+TIME(12,0,0),1)</f>
        <v>6.9444444444444198E-3</v>
      </c>
      <c r="M20" s="15">
        <f>MOD(EST_OLD!M20+TIME(12,0,0),1)</f>
        <v>0.25</v>
      </c>
      <c r="N20" t="str">
        <f>EST_OLD!N20</f>
        <v>Anmecha Valencia</v>
      </c>
      <c r="O20" t="s">
        <v>82</v>
      </c>
      <c r="P20">
        <f t="shared" si="2"/>
        <v>0</v>
      </c>
    </row>
    <row r="21" spans="1:16" x14ac:dyDescent="0.25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tr" cm="1">
        <f t="array" ref="H21">IFERROR(_xlfn.LET(_xlpm.s,SUBSTITUTE(IF(EST_OLD!$P21=1,EST_OLD!G21,EST_OLD!H21)," ",""),IF(_xlpm.s="OFF","OFF",TEXT(MOD(TIMEVALUE(_xlfn.TEXTBEFORE(_xlpm.s,"-"))+0.5,1),"hh:mm")&amp;" - "&amp;TEXT(MOD(TIMEVALUE(_xlfn.TEXTAFTER(_xlpm.s,"-"))+0.5,1),"hh:mm"))),IF(EST_OLD!$P21=1,'EST24'!G21,EST_OLD!H21))</f>
        <v>OFF</v>
      </c>
      <c r="I21" t="str">
        <f t="shared" si="1"/>
        <v>Wed - Sat - Sun</v>
      </c>
      <c r="J21" s="15">
        <f>MOD(EST_OLD!J21+TIME(12,0,0),1)</f>
        <v>0.94791666666666674</v>
      </c>
      <c r="K21" s="15">
        <f>MOD(EST_OLD!K21+TIME(12,0,0),1)</f>
        <v>0.125</v>
      </c>
      <c r="L21" s="15">
        <f>MOD(EST_OLD!L21+TIME(12,0,0),1)</f>
        <v>2.0833333333333481E-2</v>
      </c>
      <c r="M21" s="15">
        <f>MOD(EST_OLD!M21+TIME(12,0,0),1)</f>
        <v>0.25</v>
      </c>
      <c r="N21" t="str">
        <f>EST_OLD!N21</f>
        <v>Anmecha Valencia</v>
      </c>
      <c r="O21" t="s">
        <v>82</v>
      </c>
      <c r="P21">
        <f t="shared" si="2"/>
        <v>0</v>
      </c>
    </row>
    <row r="22" spans="1:16" x14ac:dyDescent="0.25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tr" cm="1">
        <f t="array" ref="H22">IFERROR(_xlfn.LET(_xlpm.s,SUBSTITUTE(IF(EST_OLD!$P22=1,EST_OLD!G22,EST_OLD!H22)," ",""),IF(_xlpm.s="OFF","OFF",TEXT(MOD(TIMEVALUE(_xlfn.TEXTBEFORE(_xlpm.s,"-"))+0.5,1),"hh:mm")&amp;" - "&amp;TEXT(MOD(TIMEVALUE(_xlfn.TEXTAFTER(_xlpm.s,"-"))+0.5,1),"hh:mm"))),IF(EST_OLD!$P22=1,'EST24'!G22,EST_OLD!H22))</f>
        <v>22:30 - 09:30</v>
      </c>
      <c r="I22" t="str">
        <f t="shared" si="1"/>
        <v>Wed - Thu - Fri</v>
      </c>
      <c r="J22" s="15">
        <f>MOD(EST_OLD!J22+TIME(12,0,0),1)</f>
        <v>2.0833333333333481E-2</v>
      </c>
      <c r="K22" s="15">
        <f>MOD(EST_OLD!K22+TIME(12,0,0),1)</f>
        <v>0.11458333333333348</v>
      </c>
      <c r="L22" s="15">
        <f>MOD(EST_OLD!L22+TIME(12,0,0),1)</f>
        <v>0.16666666666666652</v>
      </c>
      <c r="M22" s="15">
        <f>MOD(EST_OLD!M22+TIME(12,0,0),1)</f>
        <v>0.30208333333333348</v>
      </c>
      <c r="N22" t="str">
        <f>EST_OLD!N22</f>
        <v>Michael Dominguez</v>
      </c>
      <c r="O22" t="s">
        <v>96</v>
      </c>
      <c r="P22">
        <f t="shared" si="2"/>
        <v>0</v>
      </c>
    </row>
    <row r="23" spans="1:16" x14ac:dyDescent="0.25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tr" cm="1">
        <f t="array" ref="H23">IFERROR(_xlfn.LET(_xlpm.s,SUBSTITUTE(IF(EST_OLD!$P23=1,EST_OLD!G23,EST_OLD!H23)," ",""),IF(_xlpm.s="OFF","OFF",TEXT(MOD(TIMEVALUE(_xlfn.TEXTBEFORE(_xlpm.s,"-"))+0.5,1),"hh:mm")&amp;" - "&amp;TEXT(MOD(TIMEVALUE(_xlfn.TEXTAFTER(_xlpm.s,"-"))+0.5,1),"hh:mm"))),IF(EST_OLD!$P23=1,'EST24'!G23,EST_OLD!H23))</f>
        <v>OFF</v>
      </c>
      <c r="I23" t="str">
        <f t="shared" si="1"/>
        <v>Fri - Sat - Sun</v>
      </c>
      <c r="J23" s="15">
        <f>MOD(EST_OLD!J23+TIME(12,0,0),1)</f>
        <v>0.92708333333333326</v>
      </c>
      <c r="K23" s="15">
        <f>MOD(EST_OLD!K23+TIME(12,0,0),1)</f>
        <v>2.0833333333333481E-2</v>
      </c>
      <c r="L23" s="15">
        <f>MOD(EST_OLD!L23+TIME(12,0,0),1)</f>
        <v>0.10416666666666652</v>
      </c>
      <c r="M23" s="15">
        <f>MOD(EST_OLD!M23+TIME(12,0,0),1)</f>
        <v>0.22916666666666652</v>
      </c>
      <c r="N23" t="str">
        <f>EST_OLD!N23</f>
        <v>Michael Dominguez</v>
      </c>
      <c r="O23" t="s">
        <v>155</v>
      </c>
      <c r="P23">
        <f t="shared" si="2"/>
        <v>0</v>
      </c>
    </row>
    <row r="24" spans="1:16" x14ac:dyDescent="0.25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tr" cm="1">
        <f t="array" ref="H24">IFERROR(_xlfn.LET(_xlpm.s,SUBSTITUTE(IF(EST_OLD!$P24=1,EST_OLD!G24,EST_OLD!H24)," ",""),IF(_xlpm.s="OFF","OFF",TEXT(MOD(TIMEVALUE(_xlfn.TEXTBEFORE(_xlpm.s,"-"))+0.5,1),"hh:mm")&amp;" - "&amp;TEXT(MOD(TIMEVALUE(_xlfn.TEXTAFTER(_xlpm.s,"-"))+0.5,1),"hh:mm"))),IF(EST_OLD!$P24=1,'EST24'!G24,EST_OLD!H24))</f>
        <v>01:00 - 12:00</v>
      </c>
      <c r="I24" t="str">
        <f t="shared" si="1"/>
        <v>Tue - Wed - Thu</v>
      </c>
      <c r="J24" s="15">
        <f>MOD(EST_OLD!J24+TIME(12,0,0),1)</f>
        <v>0.125</v>
      </c>
      <c r="K24" s="15">
        <f>MOD(EST_OLD!K24+TIME(12,0,0),1)</f>
        <v>0.21875</v>
      </c>
      <c r="L24" s="15">
        <f>MOD(EST_OLD!L24+TIME(12,0,0),1)</f>
        <v>0.3125</v>
      </c>
      <c r="M24" s="15">
        <f>MOD(EST_OLD!M24+TIME(12,0,0),1)</f>
        <v>0.4375</v>
      </c>
      <c r="N24" t="str">
        <f>EST_OLD!N24</f>
        <v>Christopher Rodas</v>
      </c>
      <c r="O24" t="s">
        <v>17</v>
      </c>
      <c r="P24">
        <f t="shared" si="2"/>
        <v>1</v>
      </c>
    </row>
    <row r="25" spans="1:16" x14ac:dyDescent="0.25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tr" cm="1">
        <f t="array" ref="H25">IFERROR(_xlfn.LET(_xlpm.s,SUBSTITUTE(IF(EST_OLD!$P25=1,EST_OLD!G25,EST_OLD!H25)," ",""),IF(_xlpm.s="OFF","OFF",TEXT(MOD(TIMEVALUE(_xlfn.TEXTBEFORE(_xlpm.s,"-"))+0.5,1),"hh:mm")&amp;" - "&amp;TEXT(MOD(TIMEVALUE(_xlfn.TEXTAFTER(_xlpm.s,"-"))+0.5,1),"hh:mm"))),IF(EST_OLD!$P25=1,'EST24'!G25,EST_OLD!H25))</f>
        <v>OFF</v>
      </c>
      <c r="I25" t="str">
        <f t="shared" si="1"/>
        <v>Thu - Fri - Sun</v>
      </c>
      <c r="J25" s="15">
        <f>MOD(EST_OLD!J25+TIME(12,0,0),1)</f>
        <v>0.39583333333333348</v>
      </c>
      <c r="K25" s="15">
        <f>MOD(EST_OLD!K25+TIME(12,0,0),1)</f>
        <v>0.60416666666666663</v>
      </c>
      <c r="L25" s="15">
        <f>MOD(EST_OLD!L25+TIME(12,0,0),1)</f>
        <v>0.47916666666666652</v>
      </c>
      <c r="M25" s="15">
        <f>MOD(EST_OLD!M25+TIME(12,0,0),1)</f>
        <v>0.6875</v>
      </c>
      <c r="N25" t="str">
        <f>EST_OLD!N25</f>
        <v>Christopher Rodas</v>
      </c>
      <c r="O25" t="s">
        <v>66</v>
      </c>
      <c r="P25">
        <f t="shared" si="2"/>
        <v>1</v>
      </c>
    </row>
    <row r="26" spans="1:16" x14ac:dyDescent="0.25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tr" cm="1">
        <f t="array" ref="H26">IFERROR(_xlfn.LET(_xlpm.s,SUBSTITUTE(IF(EST_OLD!$P26=1,EST_OLD!G26,EST_OLD!H26)," ",""),IF(_xlpm.s="OFF","OFF",TEXT(MOD(TIMEVALUE(_xlfn.TEXTBEFORE(_xlpm.s,"-"))+0.5,1),"hh:mm")&amp;" - "&amp;TEXT(MOD(TIMEVALUE(_xlfn.TEXTAFTER(_xlpm.s,"-"))+0.5,1),"hh:mm"))),IF(EST_OLD!$P26=1,'EST24'!G26,EST_OLD!H26))</f>
        <v>OFF</v>
      </c>
      <c r="I26" t="str">
        <f t="shared" si="1"/>
        <v>Fri - Sat - Sun</v>
      </c>
      <c r="J26" s="15">
        <f>MOD(EST_OLD!J26+TIME(12,0,0),1)</f>
        <v>0.84375</v>
      </c>
      <c r="K26" s="15">
        <f>MOD(EST_OLD!K26+TIME(12,0,0),1)</f>
        <v>0.9375</v>
      </c>
      <c r="L26" s="15">
        <f>MOD(EST_OLD!L26+TIME(12,0,0),1)</f>
        <v>7.2916666666666519E-2</v>
      </c>
      <c r="M26" s="15">
        <f>MOD(EST_OLD!M26+TIME(12,0,0),1)</f>
        <v>0.14583333333333348</v>
      </c>
      <c r="N26" t="str">
        <f>EST_OLD!N26</f>
        <v>Remmo Panaligan</v>
      </c>
      <c r="O26" t="s">
        <v>63</v>
      </c>
      <c r="P26">
        <f t="shared" si="2"/>
        <v>0</v>
      </c>
    </row>
    <row r="27" spans="1:16" x14ac:dyDescent="0.25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tr" cm="1">
        <f t="array" ref="H27">IFERROR(_xlfn.LET(_xlpm.s,SUBSTITUTE(IF(EST_OLD!$P27=1,EST_OLD!G27,EST_OLD!H27)," ",""),IF(_xlpm.s="OFF","OFF",TEXT(MOD(TIMEVALUE(_xlfn.TEXTBEFORE(_xlpm.s,"-"))+0.5,1),"hh:mm")&amp;" - "&amp;TEXT(MOD(TIMEVALUE(_xlfn.TEXTAFTER(_xlpm.s,"-"))+0.5,1),"hh:mm"))),IF(EST_OLD!$P27=1,'EST24'!G27,EST_OLD!H27))</f>
        <v>17:00 - 04:00</v>
      </c>
      <c r="I27" t="str">
        <f t="shared" si="1"/>
        <v>Thu - Fri - Sat</v>
      </c>
      <c r="J27" s="15">
        <f>MOD(EST_OLD!J27+TIME(12,0,0),1)</f>
        <v>0.80208333333333326</v>
      </c>
      <c r="K27" s="15">
        <f>MOD(EST_OLD!K27+TIME(12,0,0),1)</f>
        <v>4.1666666666666519E-2</v>
      </c>
      <c r="L27" s="15">
        <f>MOD(EST_OLD!L27+TIME(12,0,0),1)</f>
        <v>0.91666666666666674</v>
      </c>
      <c r="M27" s="15">
        <f>MOD(EST_OLD!M27+TIME(12,0,0),1)</f>
        <v>0.14583333333333348</v>
      </c>
      <c r="N27" t="str">
        <f>EST_OLD!N27</f>
        <v>Christopher Rodas</v>
      </c>
      <c r="O27" t="s">
        <v>100</v>
      </c>
      <c r="P27">
        <f t="shared" si="2"/>
        <v>0</v>
      </c>
    </row>
    <row r="28" spans="1:16" x14ac:dyDescent="0.25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tr" cm="1">
        <f t="array" ref="H28">IFERROR(_xlfn.LET(_xlpm.s,SUBSTITUTE(IF(EST_OLD!$P28=1,EST_OLD!G28,EST_OLD!H28)," ",""),IF(_xlpm.s="OFF","OFF",TEXT(MOD(TIMEVALUE(_xlfn.TEXTBEFORE(_xlpm.s,"-"))+0.5,1),"hh:mm")&amp;" - "&amp;TEXT(MOD(TIMEVALUE(_xlfn.TEXTAFTER(_xlpm.s,"-"))+0.5,1),"hh:mm"))),IF(EST_OLD!$P28=1,'EST24'!G28,EST_OLD!H28))</f>
        <v>OFF</v>
      </c>
      <c r="I28" t="str">
        <f t="shared" si="1"/>
        <v>Fri - Sat - Sun</v>
      </c>
      <c r="J28" s="15">
        <f>MOD(EST_OLD!J28+TIME(12,0,0),1)</f>
        <v>0.98958333333333326</v>
      </c>
      <c r="K28" s="15">
        <f>MOD(EST_OLD!K28+TIME(12,0,0),1)</f>
        <v>0.19791666666666652</v>
      </c>
      <c r="L28" s="15">
        <f>MOD(EST_OLD!L28+TIME(12,0,0),1)</f>
        <v>0.14583333333333348</v>
      </c>
      <c r="M28" s="15">
        <f>MOD(EST_OLD!M28+TIME(12,0,0),1)</f>
        <v>0.30208333333333348</v>
      </c>
      <c r="N28" t="str">
        <f>EST_OLD!N28</f>
        <v>Michael Dominguez</v>
      </c>
      <c r="O28" t="s">
        <v>112</v>
      </c>
      <c r="P28">
        <f t="shared" si="2"/>
        <v>0</v>
      </c>
    </row>
    <row r="29" spans="1:16" x14ac:dyDescent="0.25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tr" cm="1">
        <f t="array" ref="H29">IFERROR(_xlfn.LET(_xlpm.s,SUBSTITUTE(IF(EST_OLD!$P29=1,EST_OLD!G29,EST_OLD!H29)," ",""),IF(_xlpm.s="OFF","OFF",TEXT(MOD(TIMEVALUE(_xlfn.TEXTBEFORE(_xlpm.s,"-"))+0.5,1),"hh:mm")&amp;" - "&amp;TEXT(MOD(TIMEVALUE(_xlfn.TEXTAFTER(_xlpm.s,"-"))+0.5,1),"hh:mm"))),IF(EST_OLD!$P29=1,'EST24'!G29,EST_OLD!H29))</f>
        <v>OFF</v>
      </c>
      <c r="I29" t="str">
        <f t="shared" si="1"/>
        <v>Wed - Sat - Sun</v>
      </c>
      <c r="J29" s="15">
        <f>MOD(EST_OLD!J29+TIME(12,0,0),1)</f>
        <v>0.92708333333333326</v>
      </c>
      <c r="K29" s="15">
        <f>MOD(EST_OLD!K29+TIME(12,0,0),1)</f>
        <v>0.14583333333333348</v>
      </c>
      <c r="L29" s="15">
        <f>MOD(EST_OLD!L29+TIME(12,0,0),1)</f>
        <v>3.125E-2</v>
      </c>
      <c r="M29" s="15">
        <f>MOD(EST_OLD!M29+TIME(12,0,0),1)</f>
        <v>0.25</v>
      </c>
      <c r="N29" t="str">
        <f>EST_OLD!N29</f>
        <v>Remmo Panaligan</v>
      </c>
      <c r="O29" t="s">
        <v>32</v>
      </c>
      <c r="P29">
        <f t="shared" si="2"/>
        <v>0</v>
      </c>
    </row>
    <row r="30" spans="1:16" x14ac:dyDescent="0.25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tr" cm="1">
        <f t="array" ref="H30">IFERROR(_xlfn.LET(_xlpm.s,SUBSTITUTE(IF(EST_OLD!$P30=1,EST_OLD!G30,EST_OLD!H30)," ",""),IF(_xlpm.s="OFF","OFF",TEXT(MOD(TIMEVALUE(_xlfn.TEXTBEFORE(_xlpm.s,"-"))+0.5,1),"hh:mm")&amp;" - "&amp;TEXT(MOD(TIMEVALUE(_xlfn.TEXTAFTER(_xlpm.s,"-"))+0.5,1),"hh:mm"))),IF(EST_OLD!$P30=1,'EST24'!G30,EST_OLD!H30))</f>
        <v>OFF</v>
      </c>
      <c r="I30" t="str">
        <f t="shared" si="1"/>
        <v>Fri - Sat - Sun</v>
      </c>
      <c r="J30" s="15">
        <f>MOD(EST_OLD!J30+TIME(12,0,0),1)</f>
        <v>4.1666666666666519E-2</v>
      </c>
      <c r="K30" s="15">
        <f>MOD(EST_OLD!K30+TIME(12,0,0),1)</f>
        <v>0.26041666666666652</v>
      </c>
      <c r="L30" s="15">
        <f>MOD(EST_OLD!L30+TIME(12,0,0),1)</f>
        <v>0.13541666666666652</v>
      </c>
      <c r="M30" s="15">
        <f>MOD(EST_OLD!M30+TIME(12,0,0),1)</f>
        <v>0.36458333333333348</v>
      </c>
      <c r="N30" t="str">
        <f>EST_OLD!N30</f>
        <v>Remmo Panaligan</v>
      </c>
      <c r="O30" t="s">
        <v>123</v>
      </c>
      <c r="P30">
        <f t="shared" si="2"/>
        <v>0</v>
      </c>
    </row>
    <row r="31" spans="1:16" x14ac:dyDescent="0.25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tr" cm="1">
        <f t="array" ref="H31">IFERROR(_xlfn.LET(_xlpm.s,SUBSTITUTE(IF(EST_OLD!$P31=1,EST_OLD!G31,EST_OLD!H31)," ",""),IF(_xlpm.s="OFF","OFF",TEXT(MOD(TIMEVALUE(_xlfn.TEXTBEFORE(_xlpm.s,"-"))+0.5,1),"hh:mm")&amp;" - "&amp;TEXT(MOD(TIMEVALUE(_xlfn.TEXTAFTER(_xlpm.s,"-"))+0.5,1),"hh:mm"))),IF(EST_OLD!$P31=1,'EST24'!G31,EST_OLD!H31))</f>
        <v>14:00 - 01:00</v>
      </c>
      <c r="I31" t="str">
        <f t="shared" si="1"/>
        <v>Thu - Fri - Sat</v>
      </c>
      <c r="J31" s="15">
        <f>MOD(EST_OLD!J31+TIME(12,0,0),1)</f>
        <v>0.65625</v>
      </c>
      <c r="K31" s="15">
        <f>MOD(EST_OLD!K31+TIME(12,0,0),1)</f>
        <v>0.875</v>
      </c>
      <c r="L31" s="15">
        <f>MOD(EST_OLD!L31+TIME(12,0,0),1)</f>
        <v>0.75</v>
      </c>
      <c r="M31" s="15">
        <f>MOD(EST_OLD!M31+TIME(12,0,0),1)</f>
        <v>0.97916666666666674</v>
      </c>
      <c r="N31" t="str">
        <f>EST_OLD!N31</f>
        <v>Christopher Rodas</v>
      </c>
      <c r="O31" t="s">
        <v>139</v>
      </c>
      <c r="P31">
        <f t="shared" si="2"/>
        <v>0</v>
      </c>
    </row>
    <row r="32" spans="1:16" x14ac:dyDescent="0.25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tr" cm="1">
        <f t="array" ref="H32">IFERROR(_xlfn.LET(_xlpm.s,SUBSTITUTE(IF(EST_OLD!$P32=1,EST_OLD!G32,EST_OLD!H32)," ",""),IF(_xlpm.s="OFF","OFF",TEXT(MOD(TIMEVALUE(_xlfn.TEXTBEFORE(_xlpm.s,"-"))+0.5,1),"hh:mm")&amp;" - "&amp;TEXT(MOD(TIMEVALUE(_xlfn.TEXTAFTER(_xlpm.s,"-"))+0.5,1),"hh:mm"))),IF(EST_OLD!$P32=1,'EST24'!G32,EST_OLD!H32))</f>
        <v>OFF</v>
      </c>
      <c r="I32" t="str">
        <f t="shared" si="1"/>
        <v>Wed - Thu - Sun</v>
      </c>
      <c r="J32" s="15">
        <f>MOD(EST_OLD!J32+TIME(12,0,0),1)</f>
        <v>0.85416666666666674</v>
      </c>
      <c r="K32" s="15">
        <f>MOD(EST_OLD!K32+TIME(12,0,0),1)</f>
        <v>0.95833333333333326</v>
      </c>
      <c r="L32" s="15">
        <f>MOD(EST_OLD!L32+TIME(12,0,0),1)</f>
        <v>4.1666666666666519E-2</v>
      </c>
      <c r="M32" s="15">
        <f>MOD(EST_OLD!M32+TIME(12,0,0),1)</f>
        <v>0.20833333333333348</v>
      </c>
      <c r="N32" t="str">
        <f>EST_OLD!N32</f>
        <v>Charmane Briones</v>
      </c>
      <c r="O32" t="s">
        <v>52</v>
      </c>
      <c r="P32">
        <f t="shared" si="2"/>
        <v>0</v>
      </c>
    </row>
    <row r="33" spans="1:16" x14ac:dyDescent="0.25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tr" cm="1">
        <f t="array" ref="H33">IFERROR(_xlfn.LET(_xlpm.s,SUBSTITUTE(IF(EST_OLD!$P33=1,EST_OLD!G33,EST_OLD!H33)," ",""),IF(_xlpm.s="OFF","OFF",TEXT(MOD(TIMEVALUE(_xlfn.TEXTBEFORE(_xlpm.s,"-"))+0.5,1),"hh:mm")&amp;" - "&amp;TEXT(MOD(TIMEVALUE(_xlfn.TEXTAFTER(_xlpm.s,"-"))+0.5,1),"hh:mm"))),IF(EST_OLD!$P33=1,'EST24'!G33,EST_OLD!H33))</f>
        <v>OFF</v>
      </c>
      <c r="I33" t="str">
        <f t="shared" si="1"/>
        <v>Fri - Sat - Sun</v>
      </c>
      <c r="J33" s="15">
        <f>MOD(EST_OLD!J33+TIME(12,0,0),1)</f>
        <v>0.3125</v>
      </c>
      <c r="K33" s="15">
        <f>MOD(EST_OLD!K33+TIME(12,0,0),1)</f>
        <v>0.51041666666666663</v>
      </c>
      <c r="L33" s="15">
        <f>MOD(EST_OLD!L33+TIME(12,0,0),1)</f>
        <v>0.39583333333333348</v>
      </c>
      <c r="M33" s="15">
        <f>MOD(EST_OLD!M33+TIME(12,0,0),1)</f>
        <v>0.61458333333333337</v>
      </c>
      <c r="N33" t="str">
        <f>EST_OLD!N33</f>
        <v>Christopher Rodas</v>
      </c>
      <c r="O33" t="s">
        <v>68</v>
      </c>
      <c r="P33">
        <f t="shared" si="2"/>
        <v>1</v>
      </c>
    </row>
    <row r="34" spans="1:16" x14ac:dyDescent="0.25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tr" cm="1">
        <f t="array" ref="H34">IFERROR(_xlfn.LET(_xlpm.s,SUBSTITUTE(IF(EST_OLD!$P34=1,EST_OLD!G34,EST_OLD!H34)," ",""),IF(_xlpm.s="OFF","OFF",TEXT(MOD(TIMEVALUE(_xlfn.TEXTBEFORE(_xlpm.s,"-"))+0.5,1),"hh:mm")&amp;" - "&amp;TEXT(MOD(TIMEVALUE(_xlfn.TEXTAFTER(_xlpm.s,"-"))+0.5,1),"hh:mm"))),IF(EST_OLD!$P34=1,'EST24'!G34,EST_OLD!H34))</f>
        <v>OFF</v>
      </c>
      <c r="I34" t="str">
        <f t="shared" si="1"/>
        <v>Tue - Sat - Sun</v>
      </c>
      <c r="J34" s="15">
        <f>MOD(EST_OLD!J34+TIME(12,0,0),1)</f>
        <v>0.9375</v>
      </c>
      <c r="K34" s="15">
        <f>MOD(EST_OLD!K34+TIME(12,0,0),1)</f>
        <v>0.14583333333333348</v>
      </c>
      <c r="L34" s="15">
        <f>MOD(EST_OLD!L34+TIME(12,0,0),1)</f>
        <v>1.0416666666666519E-2</v>
      </c>
      <c r="M34" s="15">
        <f>MOD(EST_OLD!M34+TIME(12,0,0),1)</f>
        <v>0.25</v>
      </c>
      <c r="N34" t="str">
        <f>EST_OLD!N34</f>
        <v>Charmane Briones</v>
      </c>
      <c r="O34" t="s">
        <v>32</v>
      </c>
      <c r="P34">
        <f t="shared" si="2"/>
        <v>0</v>
      </c>
    </row>
    <row r="35" spans="1:16" x14ac:dyDescent="0.25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tr" cm="1">
        <f t="array" ref="H35">IFERROR(_xlfn.LET(_xlpm.s,SUBSTITUTE(IF(EST_OLD!$P35=1,EST_OLD!G35,EST_OLD!H35)," ",""),IF(_xlpm.s="OFF","OFF",TEXT(MOD(TIMEVALUE(_xlfn.TEXTBEFORE(_xlpm.s,"-"))+0.5,1),"hh:mm")&amp;" - "&amp;TEXT(MOD(TIMEVALUE(_xlfn.TEXTAFTER(_xlpm.s,"-"))+0.5,1),"hh:mm"))),IF(EST_OLD!$P35=1,'EST24'!G35,EST_OLD!H35))</f>
        <v>00:00 - 11:00</v>
      </c>
      <c r="I35" t="str">
        <f t="shared" si="1"/>
        <v>Mon - Tue - Wed</v>
      </c>
      <c r="J35" s="15">
        <f>MOD(EST_OLD!J35+TIME(12,0,0),1)</f>
        <v>8.3333333333333481E-2</v>
      </c>
      <c r="K35" s="15">
        <f>MOD(EST_OLD!K35+TIME(12,0,0),1)</f>
        <v>0.3125</v>
      </c>
      <c r="L35" s="15">
        <f>MOD(EST_OLD!L35+TIME(12,0,0),1)</f>
        <v>0.17708333333333348</v>
      </c>
      <c r="M35" s="15">
        <f>MOD(EST_OLD!M35+TIME(12,0,0),1)</f>
        <v>0.41666666666666652</v>
      </c>
      <c r="N35" t="str">
        <f>EST_OLD!N35</f>
        <v>Charmane Briones</v>
      </c>
      <c r="O35" t="s">
        <v>85</v>
      </c>
      <c r="P35">
        <f t="shared" si="2"/>
        <v>1</v>
      </c>
    </row>
    <row r="36" spans="1:16" x14ac:dyDescent="0.25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tr" cm="1">
        <f t="array" ref="H36">IFERROR(_xlfn.LET(_xlpm.s,SUBSTITUTE(IF(EST_OLD!$P36=1,EST_OLD!G36,EST_OLD!H36)," ",""),IF(_xlpm.s="OFF","OFF",TEXT(MOD(TIMEVALUE(_xlfn.TEXTBEFORE(_xlpm.s,"-"))+0.5,1),"hh:mm")&amp;" - "&amp;TEXT(MOD(TIMEVALUE(_xlfn.TEXTAFTER(_xlpm.s,"-"))+0.5,1),"hh:mm"))),IF(EST_OLD!$P36=1,'EST24'!G36,EST_OLD!H36))</f>
        <v>OFF</v>
      </c>
      <c r="I36" t="str">
        <f t="shared" si="1"/>
        <v>Mon - Sat - Sun</v>
      </c>
      <c r="J36" s="15">
        <f>MOD(EST_OLD!J36+TIME(12,0,0),1)</f>
        <v>0.71875</v>
      </c>
      <c r="K36" s="15">
        <f>MOD(EST_OLD!K36+TIME(12,0,0),1)</f>
        <v>0.88541666666666674</v>
      </c>
      <c r="L36" s="15">
        <f>MOD(EST_OLD!L36+TIME(12,0,0),1)</f>
        <v>0.80208333333333326</v>
      </c>
      <c r="M36" s="15">
        <f>MOD(EST_OLD!M36+TIME(12,0,0),1)</f>
        <v>0</v>
      </c>
      <c r="N36" t="str">
        <f>EST_OLD!N36</f>
        <v>Charmane Briones</v>
      </c>
      <c r="O36" t="s">
        <v>137</v>
      </c>
      <c r="P36">
        <f t="shared" si="2"/>
        <v>0</v>
      </c>
    </row>
    <row r="37" spans="1:16" x14ac:dyDescent="0.25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tr" cm="1">
        <f t="array" ref="H37">IFERROR(_xlfn.LET(_xlpm.s,SUBSTITUTE(IF(EST_OLD!$P37=1,EST_OLD!G37,EST_OLD!H37)," ",""),IF(_xlpm.s="OFF","OFF",TEXT(MOD(TIMEVALUE(_xlfn.TEXTBEFORE(_xlpm.s,"-"))+0.5,1),"hh:mm")&amp;" - "&amp;TEXT(MOD(TIMEVALUE(_xlfn.TEXTAFTER(_xlpm.s,"-"))+0.5,1),"hh:mm"))),IF(EST_OLD!$P37=1,'EST24'!G37,EST_OLD!H37))</f>
        <v>09:00 - 20:00</v>
      </c>
      <c r="I37" t="str">
        <f t="shared" si="1"/>
        <v>Thu - Fri - Sat</v>
      </c>
      <c r="J37" s="15">
        <f>MOD(EST_OLD!J37+TIME(12,0,0),1)</f>
        <v>0.46527777777777768</v>
      </c>
      <c r="K37" s="15">
        <f>MOD(EST_OLD!K37+TIME(12,0,0),1)</f>
        <v>0.59027777777777779</v>
      </c>
      <c r="L37" s="15">
        <f>MOD(EST_OLD!L37+TIME(12,0,0),1)</f>
        <v>0.68055555555555558</v>
      </c>
      <c r="M37" s="15">
        <f>MOD(EST_OLD!M37+TIME(12,0,0),1)</f>
        <v>0.79166666666666674</v>
      </c>
      <c r="N37" t="str">
        <f>EST_OLD!N37</f>
        <v>Anmecha Valencia</v>
      </c>
      <c r="O37" t="s">
        <v>36</v>
      </c>
      <c r="P37">
        <f t="shared" si="2"/>
        <v>1</v>
      </c>
    </row>
    <row r="38" spans="1:16" x14ac:dyDescent="0.25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tr" cm="1">
        <f t="array" ref="H38">IFERROR(_xlfn.LET(_xlpm.s,SUBSTITUTE(IF(EST_OLD!$P38=1,EST_OLD!G38,EST_OLD!H38)," ",""),IF(_xlpm.s="OFF","OFF",TEXT(MOD(TIMEVALUE(_xlfn.TEXTBEFORE(_xlpm.s,"-"))+0.5,1),"hh:mm")&amp;" - "&amp;TEXT(MOD(TIMEVALUE(_xlfn.TEXTAFTER(_xlpm.s,"-"))+0.5,1),"hh:mm"))),IF(EST_OLD!$P38=1,'EST24'!G38,EST_OLD!H38))</f>
        <v>OFF</v>
      </c>
      <c r="I38" t="str">
        <f t="shared" si="1"/>
        <v>Mon - Sat - Sun</v>
      </c>
      <c r="J38" s="15">
        <f>MOD(EST_OLD!J38+TIME(12,0,0),1)</f>
        <v>0.41666666666666652</v>
      </c>
      <c r="K38" s="15">
        <f>MOD(EST_OLD!K38+TIME(12,0,0),1)</f>
        <v>0.58333333333333337</v>
      </c>
      <c r="L38" s="15">
        <f>MOD(EST_OLD!L38+TIME(12,0,0),1)</f>
        <v>0.5</v>
      </c>
      <c r="M38" s="15">
        <f>MOD(EST_OLD!M38+TIME(12,0,0),1)</f>
        <v>0.66666666666666663</v>
      </c>
      <c r="N38" t="str">
        <f>EST_OLD!N38</f>
        <v>Charmane Briones</v>
      </c>
      <c r="O38" t="s">
        <v>25</v>
      </c>
      <c r="P38">
        <f t="shared" si="2"/>
        <v>1</v>
      </c>
    </row>
    <row r="39" spans="1:16" x14ac:dyDescent="0.25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tr" cm="1">
        <f t="array" ref="H39">IFERROR(_xlfn.LET(_xlpm.s,SUBSTITUTE(IF(EST_OLD!$P39=1,EST_OLD!G39,EST_OLD!H39)," ",""),IF(_xlpm.s="OFF","OFF",TEXT(MOD(TIMEVALUE(_xlfn.TEXTBEFORE(_xlpm.s,"-"))+0.5,1),"hh:mm")&amp;" - "&amp;TEXT(MOD(TIMEVALUE(_xlfn.TEXTAFTER(_xlpm.s,"-"))+0.5,1),"hh:mm"))),IF(EST_OLD!$P39=1,'EST24'!G39,EST_OLD!H39))</f>
        <v>OFF</v>
      </c>
      <c r="I39" t="str">
        <f t="shared" si="1"/>
        <v>Fri - Sat - Sun</v>
      </c>
      <c r="J39" s="15">
        <f>MOD(EST_OLD!J39+TIME(12,0,0),1)</f>
        <v>0.84375</v>
      </c>
      <c r="K39" s="15">
        <f>MOD(EST_OLD!K39+TIME(12,0,0),1)</f>
        <v>0.94791666666666674</v>
      </c>
      <c r="L39" s="15">
        <f>MOD(EST_OLD!L39+TIME(12,0,0),1)</f>
        <v>6.25E-2</v>
      </c>
      <c r="M39" s="15">
        <f>MOD(EST_OLD!M39+TIME(12,0,0),1)</f>
        <v>0.14583333333333348</v>
      </c>
      <c r="N39" t="str">
        <f>EST_OLD!N39</f>
        <v>Remmo Panaligan</v>
      </c>
      <c r="O39" t="s">
        <v>63</v>
      </c>
      <c r="P39">
        <f t="shared" si="2"/>
        <v>0</v>
      </c>
    </row>
    <row r="40" spans="1:16" x14ac:dyDescent="0.25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tr" cm="1">
        <f t="array" ref="H40">IFERROR(_xlfn.LET(_xlpm.s,SUBSTITUTE(IF(EST_OLD!$P40=1,EST_OLD!G40,EST_OLD!H40)," ",""),IF(_xlpm.s="OFF","OFF",TEXT(MOD(TIMEVALUE(_xlfn.TEXTBEFORE(_xlpm.s,"-"))+0.5,1),"hh:mm")&amp;" - "&amp;TEXT(MOD(TIMEVALUE(_xlfn.TEXTAFTER(_xlpm.s,"-"))+0.5,1),"hh:mm"))),IF(EST_OLD!$P40=1,'EST24'!G40,EST_OLD!H40))</f>
        <v>15:00 - 02:00</v>
      </c>
      <c r="I40" t="str">
        <f t="shared" si="1"/>
        <v>Thu - Fri - Sat</v>
      </c>
      <c r="J40" s="15">
        <f>MOD(EST_OLD!J40+TIME(12,0,0),1)</f>
        <v>0.71875</v>
      </c>
      <c r="K40" s="15">
        <f>MOD(EST_OLD!K40+TIME(12,0,0),1)</f>
        <v>0.88541666666666674</v>
      </c>
      <c r="L40" s="15">
        <f>MOD(EST_OLD!L40+TIME(12,0,0),1)</f>
        <v>0.80208333333333326</v>
      </c>
      <c r="M40" s="15">
        <f>MOD(EST_OLD!M40+TIME(12,0,0),1)</f>
        <v>0</v>
      </c>
      <c r="N40" t="str">
        <f>EST_OLD!N40</f>
        <v>Remmo Panaligan</v>
      </c>
      <c r="O40" t="s">
        <v>137</v>
      </c>
      <c r="P40">
        <f t="shared" si="2"/>
        <v>0</v>
      </c>
    </row>
    <row r="41" spans="1:16" x14ac:dyDescent="0.25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tr" cm="1">
        <f t="array" ref="H41">IFERROR(_xlfn.LET(_xlpm.s,SUBSTITUTE(IF(EST_OLD!$P41=1,EST_OLD!G41,EST_OLD!H41)," ",""),IF(_xlpm.s="OFF","OFF",TEXT(MOD(TIMEVALUE(_xlfn.TEXTBEFORE(_xlpm.s,"-"))+0.5,1),"hh:mm")&amp;" - "&amp;TEXT(MOD(TIMEVALUE(_xlfn.TEXTAFTER(_xlpm.s,"-"))+0.5,1),"hh:mm"))),IF(EST_OLD!$P41=1,'EST24'!G41,EST_OLD!H41))</f>
        <v>OFF</v>
      </c>
      <c r="I41" t="str">
        <f t="shared" si="1"/>
        <v>Mon - Sat - Sun</v>
      </c>
      <c r="J41" s="15">
        <f>MOD(EST_OLD!J41+TIME(12,0,0),1)</f>
        <v>0.125</v>
      </c>
      <c r="K41" s="15">
        <f>MOD(EST_OLD!K41+TIME(12,0,0),1)</f>
        <v>0.375</v>
      </c>
      <c r="L41" s="15">
        <f>MOD(EST_OLD!L41+TIME(12,0,0),1)</f>
        <v>0.25</v>
      </c>
      <c r="M41" s="15">
        <f>MOD(EST_OLD!M41+TIME(12,0,0),1)</f>
        <v>0.47916666666666652</v>
      </c>
      <c r="N41" t="str">
        <f>EST_OLD!N41</f>
        <v>Charmane Briones</v>
      </c>
      <c r="O41" t="s">
        <v>17</v>
      </c>
      <c r="P41">
        <f t="shared" si="2"/>
        <v>1</v>
      </c>
    </row>
    <row r="42" spans="1:16" x14ac:dyDescent="0.25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tr" cm="1">
        <f t="array" ref="H42">IFERROR(_xlfn.LET(_xlpm.s,SUBSTITUTE(IF(EST_OLD!$P42=1,EST_OLD!G42,EST_OLD!H42)," ",""),IF(_xlpm.s="OFF","OFF",TEXT(MOD(TIMEVALUE(_xlfn.TEXTBEFORE(_xlpm.s,"-"))+0.5,1),"hh:mm")&amp;" - "&amp;TEXT(MOD(TIMEVALUE(_xlfn.TEXTAFTER(_xlpm.s,"-"))+0.5,1),"hh:mm"))),IF(EST_OLD!$P42=1,'EST24'!G42,EST_OLD!H42))</f>
        <v>OFF</v>
      </c>
      <c r="I42" t="str">
        <f t="shared" si="1"/>
        <v>Mon - Sat - Sun</v>
      </c>
      <c r="J42" s="15">
        <f>MOD(EST_OLD!J42+TIME(12,0,0),1)</f>
        <v>0.71875</v>
      </c>
      <c r="K42" s="15">
        <f>MOD(EST_OLD!K42+TIME(12,0,0),1)</f>
        <v>0.89583333333333326</v>
      </c>
      <c r="L42" s="15">
        <f>MOD(EST_OLD!L42+TIME(12,0,0),1)</f>
        <v>0.79166666666666674</v>
      </c>
      <c r="M42" s="15">
        <f>MOD(EST_OLD!M42+TIME(12,0,0),1)</f>
        <v>0</v>
      </c>
      <c r="N42" t="str">
        <f>EST_OLD!N42</f>
        <v>Christopher Rodas</v>
      </c>
      <c r="O42" t="s">
        <v>137</v>
      </c>
      <c r="P42">
        <f t="shared" si="2"/>
        <v>0</v>
      </c>
    </row>
    <row r="43" spans="1:16" x14ac:dyDescent="0.25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tr" cm="1">
        <f t="array" ref="H43">IFERROR(_xlfn.LET(_xlpm.s,SUBSTITUTE(IF(EST_OLD!$P43=1,EST_OLD!G43,EST_OLD!H43)," ",""),IF(_xlpm.s="OFF","OFF",TEXT(MOD(TIMEVALUE(_xlfn.TEXTBEFORE(_xlpm.s,"-"))+0.5,1),"hh:mm")&amp;" - "&amp;TEXT(MOD(TIMEVALUE(_xlfn.TEXTAFTER(_xlpm.s,"-"))+0.5,1),"hh:mm"))),IF(EST_OLD!$P43=1,'EST24'!G43,EST_OLD!H43))</f>
        <v>OFF</v>
      </c>
      <c r="I43" t="str">
        <f t="shared" si="1"/>
        <v>Thu - Sat - Sun</v>
      </c>
      <c r="J43" s="15">
        <f>MOD(EST_OLD!J43+TIME(12,0,0),1)</f>
        <v>0</v>
      </c>
      <c r="K43" s="15">
        <f>MOD(EST_OLD!K43+TIME(12,0,0),1)</f>
        <v>0.21875</v>
      </c>
      <c r="L43" s="15">
        <f>MOD(EST_OLD!L43+TIME(12,0,0),1)</f>
        <v>9.375E-2</v>
      </c>
      <c r="M43" s="15">
        <f>MOD(EST_OLD!M43+TIME(12,0,0),1)</f>
        <v>0.32291666666666652</v>
      </c>
      <c r="N43" t="str">
        <f>EST_OLD!N43</f>
        <v>Anmecha Valencia</v>
      </c>
      <c r="O43" t="s">
        <v>96</v>
      </c>
      <c r="P43">
        <f t="shared" si="2"/>
        <v>0</v>
      </c>
    </row>
    <row r="44" spans="1:16" x14ac:dyDescent="0.25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tr" cm="1">
        <f t="array" ref="H44">IFERROR(_xlfn.LET(_xlpm.s,SUBSTITUTE(IF(EST_OLD!$P44=1,EST_OLD!G44,EST_OLD!H44)," ",""),IF(_xlpm.s="OFF","OFF",TEXT(MOD(TIMEVALUE(_xlfn.TEXTBEFORE(_xlpm.s,"-"))+0.5,1),"hh:mm")&amp;" - "&amp;TEXT(MOD(TIMEVALUE(_xlfn.TEXTAFTER(_xlpm.s,"-"))+0.5,1),"hh:mm"))),IF(EST_OLD!$P44=1,'EST24'!G44,EST_OLD!H44))</f>
        <v>OFF</v>
      </c>
      <c r="I44" t="str">
        <f t="shared" si="1"/>
        <v>Fri - Sat - Sun</v>
      </c>
      <c r="J44" s="15">
        <f>MOD(EST_OLD!J44+TIME(12,0,0),1)</f>
        <v>0.92708333333333326</v>
      </c>
      <c r="K44" s="15">
        <f>MOD(EST_OLD!K44+TIME(12,0,0),1)</f>
        <v>0.13541666666666652</v>
      </c>
      <c r="L44" s="15">
        <f>MOD(EST_OLD!L44+TIME(12,0,0),1)</f>
        <v>1.0416666666666519E-2</v>
      </c>
      <c r="M44" s="15">
        <f>MOD(EST_OLD!M44+TIME(12,0,0),1)</f>
        <v>0.23958333333333348</v>
      </c>
      <c r="N44" t="str">
        <f>EST_OLD!N44</f>
        <v>Remmo Panaligan</v>
      </c>
      <c r="O44" t="s">
        <v>32</v>
      </c>
      <c r="P44">
        <f t="shared" si="2"/>
        <v>0</v>
      </c>
    </row>
    <row r="45" spans="1:16" x14ac:dyDescent="0.25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tr" cm="1">
        <f t="array" ref="H45">IFERROR(_xlfn.LET(_xlpm.s,SUBSTITUTE(IF(EST_OLD!$P45=1,EST_OLD!G45,EST_OLD!H45)," ",""),IF(_xlpm.s="OFF","OFF",TEXT(MOD(TIMEVALUE(_xlfn.TEXTBEFORE(_xlpm.s,"-"))+0.5,1),"hh:mm")&amp;" - "&amp;TEXT(MOD(TIMEVALUE(_xlfn.TEXTAFTER(_xlpm.s,"-"))+0.5,1),"hh:mm"))),IF(EST_OLD!$P45=1,'EST24'!G45,EST_OLD!H45))</f>
        <v>10:30 - 21:30</v>
      </c>
      <c r="I45" t="str">
        <f t="shared" si="1"/>
        <v>Mon - Fri - Sat</v>
      </c>
      <c r="J45" s="15">
        <f>MOD(EST_OLD!J45+TIME(12,0,0),1)</f>
        <v>0.55208333333333337</v>
      </c>
      <c r="K45" s="15">
        <f>MOD(EST_OLD!K45+TIME(12,0,0),1)</f>
        <v>0.78125</v>
      </c>
      <c r="L45" s="15">
        <f>MOD(EST_OLD!L45+TIME(12,0,0),1)</f>
        <v>0.65625</v>
      </c>
      <c r="M45" s="15">
        <f>MOD(EST_OLD!M45+TIME(12,0,0),1)</f>
        <v>0.875</v>
      </c>
      <c r="N45" t="str">
        <f>EST_OLD!N45</f>
        <v>Christopher Rodas</v>
      </c>
      <c r="O45" t="s">
        <v>129</v>
      </c>
      <c r="P45">
        <f t="shared" si="2"/>
        <v>1</v>
      </c>
    </row>
    <row r="46" spans="1:16" x14ac:dyDescent="0.25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tr" cm="1">
        <f t="array" ref="H46">IFERROR(_xlfn.LET(_xlpm.s,SUBSTITUTE(IF(EST_OLD!$P46=1,EST_OLD!G46,EST_OLD!H46)," ",""),IF(_xlpm.s="OFF","OFF",TEXT(MOD(TIMEVALUE(_xlfn.TEXTBEFORE(_xlpm.s,"-"))+0.5,1),"hh:mm")&amp;" - "&amp;TEXT(MOD(TIMEVALUE(_xlfn.TEXTAFTER(_xlpm.s,"-"))+0.5,1),"hh:mm"))),IF(EST_OLD!$P46=1,'EST24'!G46,EST_OLD!H46))</f>
        <v>OFF</v>
      </c>
      <c r="I46" t="str">
        <f t="shared" si="1"/>
        <v>Fri - Sat - Sun</v>
      </c>
      <c r="J46" s="15">
        <f>MOD(EST_OLD!J46+TIME(12,0,0),1)</f>
        <v>0.92708333333333326</v>
      </c>
      <c r="K46" s="15">
        <f>MOD(EST_OLD!K46+TIME(12,0,0),1)</f>
        <v>2.0833333333333481E-2</v>
      </c>
      <c r="L46" s="15">
        <f>MOD(EST_OLD!L46+TIME(12,0,0),1)</f>
        <v>0.125</v>
      </c>
      <c r="M46" s="15">
        <f>MOD(EST_OLD!M46+TIME(12,0,0),1)</f>
        <v>0.25</v>
      </c>
      <c r="N46" t="str">
        <f>EST_OLD!N46</f>
        <v>Michael Dominguez</v>
      </c>
      <c r="O46" t="s">
        <v>32</v>
      </c>
      <c r="P46">
        <f t="shared" si="2"/>
        <v>0</v>
      </c>
    </row>
    <row r="47" spans="1:16" x14ac:dyDescent="0.25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tr" cm="1">
        <f t="array" ref="H47">IFERROR(_xlfn.LET(_xlpm.s,SUBSTITUTE(IF(EST_OLD!$P47=1,EST_OLD!G47,EST_OLD!H47)," ",""),IF(_xlpm.s="OFF","OFF",TEXT(MOD(TIMEVALUE(_xlfn.TEXTBEFORE(_xlpm.s,"-"))+0.5,1),"hh:mm")&amp;" - "&amp;TEXT(MOD(TIMEVALUE(_xlfn.TEXTAFTER(_xlpm.s,"-"))+0.5,1),"hh:mm"))),IF(EST_OLD!$P47=1,'EST24'!G47,EST_OLD!H47))</f>
        <v>OFF</v>
      </c>
      <c r="I47" t="str">
        <f t="shared" si="1"/>
        <v>Mon - Tue - Sun</v>
      </c>
      <c r="J47" s="15">
        <f>MOD(EST_OLD!J47+TIME(12,0,0),1)</f>
        <v>0.3125</v>
      </c>
      <c r="K47" s="15">
        <f>MOD(EST_OLD!K47+TIME(12,0,0),1)</f>
        <v>0.5</v>
      </c>
      <c r="L47" s="15">
        <f>MOD(EST_OLD!L47+TIME(12,0,0),1)</f>
        <v>0.40625</v>
      </c>
      <c r="M47" s="15">
        <f>MOD(EST_OLD!M47+TIME(12,0,0),1)</f>
        <v>0.60416666666666663</v>
      </c>
      <c r="N47" t="str">
        <f>EST_OLD!N47</f>
        <v>Charmane Briones</v>
      </c>
      <c r="O47" t="s">
        <v>68</v>
      </c>
      <c r="P47">
        <f t="shared" si="2"/>
        <v>1</v>
      </c>
    </row>
    <row r="48" spans="1:16" x14ac:dyDescent="0.25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tr" cm="1">
        <f t="array" ref="H48">IFERROR(_xlfn.LET(_xlpm.s,SUBSTITUTE(IF(EST_OLD!$P48=1,EST_OLD!G48,EST_OLD!H48)," ",""),IF(_xlpm.s="OFF","OFF",TEXT(MOD(TIMEVALUE(_xlfn.TEXTBEFORE(_xlpm.s,"-"))+0.5,1),"hh:mm")&amp;" - "&amp;TEXT(MOD(TIMEVALUE(_xlfn.TEXTAFTER(_xlpm.s,"-"))+0.5,1),"hh:mm"))),IF(EST_OLD!$P48=1,'EST24'!G48,EST_OLD!H48))</f>
        <v>OFF</v>
      </c>
      <c r="I48" t="str">
        <f t="shared" si="1"/>
        <v>Wed - Sat - Sun</v>
      </c>
      <c r="J48" s="15">
        <f>MOD(EST_OLD!J48+TIME(12,0,0),1)</f>
        <v>0.88541666666666674</v>
      </c>
      <c r="K48" s="15">
        <f>MOD(EST_OLD!K48+TIME(12,0,0),1)</f>
        <v>0</v>
      </c>
      <c r="L48" s="15">
        <f>MOD(EST_OLD!L48+TIME(12,0,0),1)</f>
        <v>8.3333333333333481E-2</v>
      </c>
      <c r="M48" s="15">
        <f>MOD(EST_OLD!M48+TIME(12,0,0),1)</f>
        <v>0.21875</v>
      </c>
      <c r="N48" t="str">
        <f>EST_OLD!N48</f>
        <v>Remmo Panaligan</v>
      </c>
      <c r="O48" t="s">
        <v>32</v>
      </c>
      <c r="P48">
        <f t="shared" si="2"/>
        <v>0</v>
      </c>
    </row>
    <row r="49" spans="1:16" x14ac:dyDescent="0.25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tr" cm="1">
        <f t="array" ref="H49">IFERROR(_xlfn.LET(_xlpm.s,SUBSTITUTE(IF(EST_OLD!$P49=1,EST_OLD!G49,EST_OLD!H49)," ",""),IF(_xlpm.s="OFF","OFF",TEXT(MOD(TIMEVALUE(_xlfn.TEXTBEFORE(_xlpm.s,"-"))+0.5,1),"hh:mm")&amp;" - "&amp;TEXT(MOD(TIMEVALUE(_xlfn.TEXTAFTER(_xlpm.s,"-"))+0.5,1),"hh:mm"))),IF(EST_OLD!$P49=1,'EST24'!G49,EST_OLD!H49))</f>
        <v>OFF</v>
      </c>
      <c r="I49" t="str">
        <f t="shared" si="1"/>
        <v>Wed - Sat - Sun</v>
      </c>
      <c r="J49" s="15">
        <f>MOD(EST_OLD!J49+TIME(12,0,0),1)</f>
        <v>0.95833333333333326</v>
      </c>
      <c r="K49" s="15">
        <f>MOD(EST_OLD!K49+TIME(12,0,0),1)</f>
        <v>0.19791666666666652</v>
      </c>
      <c r="L49" s="15">
        <f>MOD(EST_OLD!L49+TIME(12,0,0),1)</f>
        <v>7.2916666666666519E-2</v>
      </c>
      <c r="M49" s="15">
        <f>MOD(EST_OLD!M49+TIME(12,0,0),1)</f>
        <v>0.28125</v>
      </c>
      <c r="N49" t="str">
        <f>EST_OLD!N49</f>
        <v>Michael Dominguez</v>
      </c>
      <c r="O49" t="s">
        <v>82</v>
      </c>
      <c r="P49">
        <f t="shared" si="2"/>
        <v>0</v>
      </c>
    </row>
    <row r="50" spans="1:16" x14ac:dyDescent="0.25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tr" cm="1">
        <f t="array" ref="H50">IFERROR(_xlfn.LET(_xlpm.s,SUBSTITUTE(IF(EST_OLD!$P50=1,EST_OLD!G50,EST_OLD!H50)," ",""),IF(_xlpm.s="OFF","OFF",TEXT(MOD(TIMEVALUE(_xlfn.TEXTBEFORE(_xlpm.s,"-"))+0.5,1),"hh:mm")&amp;" - "&amp;TEXT(MOD(TIMEVALUE(_xlfn.TEXTAFTER(_xlpm.s,"-"))+0.5,1),"hh:mm"))),IF(EST_OLD!$P50=1,'EST24'!G50,EST_OLD!H50))</f>
        <v>OFF</v>
      </c>
      <c r="I50" t="str">
        <f t="shared" si="1"/>
        <v>Fri - Sat - Sun</v>
      </c>
      <c r="J50" s="15">
        <f>MOD(EST_OLD!J50+TIME(12,0,0),1)</f>
        <v>0.875</v>
      </c>
      <c r="K50" s="15">
        <f>MOD(EST_OLD!K50+TIME(12,0,0),1)</f>
        <v>0.97916666666666674</v>
      </c>
      <c r="L50" s="15">
        <f>MOD(EST_OLD!L50+TIME(12,0,0),1)</f>
        <v>8.3333333333333481E-2</v>
      </c>
      <c r="M50" s="15">
        <f>MOD(EST_OLD!M50+TIME(12,0,0),1)</f>
        <v>0.17708333333333348</v>
      </c>
      <c r="N50" t="str">
        <f>EST_OLD!N50</f>
        <v>Anmecha Valencia</v>
      </c>
      <c r="O50" t="s">
        <v>52</v>
      </c>
      <c r="P50">
        <f t="shared" si="2"/>
        <v>0</v>
      </c>
    </row>
    <row r="51" spans="1:16" x14ac:dyDescent="0.25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tr" cm="1">
        <f t="array" ref="H51">IFERROR(_xlfn.LET(_xlpm.s,SUBSTITUTE(IF(EST_OLD!$P51=1,EST_OLD!G51,EST_OLD!H51)," ",""),IF(_xlpm.s="OFF","OFF",TEXT(MOD(TIMEVALUE(_xlfn.TEXTBEFORE(_xlpm.s,"-"))+0.5,1),"hh:mm")&amp;" - "&amp;TEXT(MOD(TIMEVALUE(_xlfn.TEXTAFTER(_xlpm.s,"-"))+0.5,1),"hh:mm"))),IF(EST_OLD!$P51=1,'EST24'!G51,EST_OLD!H51))</f>
        <v>06:30 - 17:30</v>
      </c>
      <c r="I51" t="str">
        <f t="shared" si="1"/>
        <v>Mon - Tue - Wed</v>
      </c>
      <c r="J51" s="15">
        <f>MOD(EST_OLD!J51+TIME(12,0,0),1)</f>
        <v>0.35416666666666652</v>
      </c>
      <c r="K51" s="15">
        <f>MOD(EST_OLD!K51+TIME(12,0,0),1)</f>
        <v>0.57291666666666663</v>
      </c>
      <c r="L51" s="15">
        <f>MOD(EST_OLD!L51+TIME(12,0,0),1)</f>
        <v>0.44791666666666652</v>
      </c>
      <c r="M51" s="15">
        <f>MOD(EST_OLD!M51+TIME(12,0,0),1)</f>
        <v>0.67708333333333337</v>
      </c>
      <c r="N51" t="str">
        <f>EST_OLD!N51</f>
        <v>Christopher Rodas</v>
      </c>
      <c r="O51" t="s">
        <v>140</v>
      </c>
      <c r="P51">
        <f t="shared" si="2"/>
        <v>1</v>
      </c>
    </row>
    <row r="52" spans="1:16" x14ac:dyDescent="0.25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tr" cm="1">
        <f t="array" ref="H52">IFERROR(_xlfn.LET(_xlpm.s,SUBSTITUTE(IF(EST_OLD!$P52=1,EST_OLD!G52,EST_OLD!H52)," ",""),IF(_xlpm.s="OFF","OFF",TEXT(MOD(TIMEVALUE(_xlfn.TEXTBEFORE(_xlpm.s,"-"))+0.5,1),"hh:mm")&amp;" - "&amp;TEXT(MOD(TIMEVALUE(_xlfn.TEXTAFTER(_xlpm.s,"-"))+0.5,1),"hh:mm"))),IF(EST_OLD!$P52=1,'EST24'!G52,EST_OLD!H52))</f>
        <v>OFF</v>
      </c>
      <c r="I52" t="str">
        <f t="shared" si="1"/>
        <v>Fri - Sat - Sun</v>
      </c>
      <c r="J52" s="15">
        <f>MOD(EST_OLD!J52+TIME(12,0,0),1)</f>
        <v>0.97916666666666674</v>
      </c>
      <c r="K52" s="15">
        <f>MOD(EST_OLD!K52+TIME(12,0,0),1)</f>
        <v>0.17708333333333348</v>
      </c>
      <c r="L52" s="15">
        <f>MOD(EST_OLD!L52+TIME(12,0,0),1)</f>
        <v>7.2916666666666519E-2</v>
      </c>
      <c r="M52" s="15">
        <f>MOD(EST_OLD!M52+TIME(12,0,0),1)</f>
        <v>0.28125</v>
      </c>
      <c r="N52" t="str">
        <f>EST_OLD!N52</f>
        <v>Remmo Panaligan</v>
      </c>
      <c r="O52" t="s">
        <v>82</v>
      </c>
      <c r="P52">
        <f t="shared" si="2"/>
        <v>0</v>
      </c>
    </row>
    <row r="53" spans="1:16" x14ac:dyDescent="0.25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tr" cm="1">
        <f t="array" ref="H53">IFERROR(_xlfn.LET(_xlpm.s,SUBSTITUTE(IF(EST_OLD!$P53=1,EST_OLD!G53,EST_OLD!H53)," ",""),IF(_xlpm.s="OFF","OFF",TEXT(MOD(TIMEVALUE(_xlfn.TEXTBEFORE(_xlpm.s,"-"))+0.5,1),"hh:mm")&amp;" - "&amp;TEXT(MOD(TIMEVALUE(_xlfn.TEXTAFTER(_xlpm.s,"-"))+0.5,1),"hh:mm"))),IF(EST_OLD!$P53=1,'EST24'!G53,EST_OLD!H53))</f>
        <v>OFF</v>
      </c>
      <c r="I53" t="str">
        <f t="shared" si="1"/>
        <v>Mon - Sat - Sun</v>
      </c>
      <c r="J53" s="15">
        <f>MOD(EST_OLD!J53+TIME(12,0,0),1)</f>
        <v>0.96875</v>
      </c>
      <c r="K53" s="15">
        <f>MOD(EST_OLD!K53+TIME(12,0,0),1)</f>
        <v>6.25E-2</v>
      </c>
      <c r="L53" s="15">
        <f>MOD(EST_OLD!L53+TIME(12,0,0),1)</f>
        <v>0.125</v>
      </c>
      <c r="M53" s="15">
        <f>MOD(EST_OLD!M53+TIME(12,0,0),1)</f>
        <v>0.28125</v>
      </c>
      <c r="N53" t="str">
        <f>EST_OLD!N53</f>
        <v>Michael Dominguez</v>
      </c>
      <c r="O53" t="s">
        <v>82</v>
      </c>
      <c r="P53">
        <f t="shared" si="2"/>
        <v>0</v>
      </c>
    </row>
    <row r="54" spans="1:16" x14ac:dyDescent="0.25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tr" cm="1">
        <f t="array" ref="H54">IFERROR(_xlfn.LET(_xlpm.s,SUBSTITUTE(IF(EST_OLD!$P54=1,EST_OLD!G54,EST_OLD!H54)," ",""),IF(_xlpm.s="OFF","OFF",TEXT(MOD(TIMEVALUE(_xlfn.TEXTBEFORE(_xlpm.s,"-"))+0.5,1),"hh:mm")&amp;" - "&amp;TEXT(MOD(TIMEVALUE(_xlfn.TEXTAFTER(_xlpm.s,"-"))+0.5,1),"hh:mm"))),IF(EST_OLD!$P54=1,'EST24'!G54,EST_OLD!H54))</f>
        <v>17:00 - 04:00</v>
      </c>
      <c r="I54" t="str">
        <f t="shared" si="1"/>
        <v>Wed - Thu - Fri</v>
      </c>
      <c r="J54" s="15">
        <f>MOD(EST_OLD!J54+TIME(12,0,0),1)</f>
        <v>0.79166666666666674</v>
      </c>
      <c r="K54" s="15">
        <f>MOD(EST_OLD!K54+TIME(12,0,0),1)</f>
        <v>1.0416666666666519E-2</v>
      </c>
      <c r="L54" s="15">
        <f>MOD(EST_OLD!L54+TIME(12,0,0),1)</f>
        <v>0.88541666666666674</v>
      </c>
      <c r="M54" s="15">
        <f>MOD(EST_OLD!M54+TIME(12,0,0),1)</f>
        <v>0.11458333333333348</v>
      </c>
      <c r="N54" t="str">
        <f>EST_OLD!N54</f>
        <v>Remmo Panaligan</v>
      </c>
      <c r="O54" t="s">
        <v>100</v>
      </c>
      <c r="P54">
        <f t="shared" si="2"/>
        <v>0</v>
      </c>
    </row>
    <row r="55" spans="1:16" x14ac:dyDescent="0.25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tr" cm="1">
        <f t="array" ref="H55">IFERROR(_xlfn.LET(_xlpm.s,SUBSTITUTE(IF(EST_OLD!$P55=1,EST_OLD!G55,EST_OLD!H55)," ",""),IF(_xlpm.s="OFF","OFF",TEXT(MOD(TIMEVALUE(_xlfn.TEXTBEFORE(_xlpm.s,"-"))+0.5,1),"hh:mm")&amp;" - "&amp;TEXT(MOD(TIMEVALUE(_xlfn.TEXTAFTER(_xlpm.s,"-"))+0.5,1),"hh:mm"))),IF(EST_OLD!$P55=1,'EST24'!G55,EST_OLD!H55))</f>
        <v>09:00 - 20:00</v>
      </c>
      <c r="I55" t="str">
        <f t="shared" si="1"/>
        <v>Tue - Wed - Thu</v>
      </c>
      <c r="J55" s="15">
        <f>MOD(EST_OLD!J55+TIME(12,0,0),1)</f>
        <v>0.45833333333333348</v>
      </c>
      <c r="K55" s="15">
        <f>MOD(EST_OLD!K55+TIME(12,0,0),1)</f>
        <v>0.625</v>
      </c>
      <c r="L55" s="15">
        <f>MOD(EST_OLD!L55+TIME(12,0,0),1)</f>
        <v>0.70833333333333337</v>
      </c>
      <c r="M55" s="15">
        <f>MOD(EST_OLD!M55+TIME(12,0,0),1)</f>
        <v>0.79166666666666674</v>
      </c>
      <c r="N55" t="str">
        <f>EST_OLD!N55</f>
        <v>Christopher Rodas</v>
      </c>
      <c r="O55" t="s">
        <v>36</v>
      </c>
      <c r="P55">
        <f t="shared" si="2"/>
        <v>1</v>
      </c>
    </row>
    <row r="56" spans="1:16" x14ac:dyDescent="0.25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tr" cm="1">
        <f t="array" ref="H56">IFERROR(_xlfn.LET(_xlpm.s,SUBSTITUTE(IF(EST_OLD!$P56=1,EST_OLD!G56,EST_OLD!H56)," ",""),IF(_xlpm.s="OFF","OFF",TEXT(MOD(TIMEVALUE(_xlfn.TEXTBEFORE(_xlpm.s,"-"))+0.5,1),"hh:mm")&amp;" - "&amp;TEXT(MOD(TIMEVALUE(_xlfn.TEXTAFTER(_xlpm.s,"-"))+0.5,1),"hh:mm"))),IF(EST_OLD!$P56=1,'EST24'!G56,EST_OLD!H56))</f>
        <v>OFF</v>
      </c>
      <c r="I56" t="str">
        <f t="shared" si="1"/>
        <v>Mon - Sat - Sun</v>
      </c>
      <c r="J56" s="15">
        <f>MOD(EST_OLD!J56+TIME(12,0,0),1)</f>
        <v>0.5</v>
      </c>
      <c r="K56" s="15">
        <f>MOD(EST_OLD!K56+TIME(12,0,0),1)</f>
        <v>0.69791666666666663</v>
      </c>
      <c r="L56" s="15">
        <f>MOD(EST_OLD!L56+TIME(12,0,0),1)</f>
        <v>0.59375</v>
      </c>
      <c r="M56" s="15">
        <f>MOD(EST_OLD!M56+TIME(12,0,0),1)</f>
        <v>0.80208333333333326</v>
      </c>
      <c r="N56" t="str">
        <f>EST_OLD!N56</f>
        <v>Charmane Briones</v>
      </c>
      <c r="O56" t="s">
        <v>70</v>
      </c>
      <c r="P56">
        <f t="shared" si="2"/>
        <v>1</v>
      </c>
    </row>
    <row r="57" spans="1:16" x14ac:dyDescent="0.25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tr" cm="1">
        <f t="array" ref="H57">IFERROR(_xlfn.LET(_xlpm.s,SUBSTITUTE(IF(EST_OLD!$P57=1,EST_OLD!G57,EST_OLD!H57)," ",""),IF(_xlpm.s="OFF","OFF",TEXT(MOD(TIMEVALUE(_xlfn.TEXTBEFORE(_xlpm.s,"-"))+0.5,1),"hh:mm")&amp;" - "&amp;TEXT(MOD(TIMEVALUE(_xlfn.TEXTAFTER(_xlpm.s,"-"))+0.5,1),"hh:mm"))),IF(EST_OLD!$P57=1,'EST24'!G57,EST_OLD!H57))</f>
        <v>22:00 - 09:00</v>
      </c>
      <c r="I57" t="str">
        <f t="shared" si="1"/>
        <v>Mon - Tue - Wed</v>
      </c>
      <c r="J57" s="15">
        <f>MOD(EST_OLD!J57+TIME(12,0,0),1)</f>
        <v>0</v>
      </c>
      <c r="K57" s="15">
        <f>MOD(EST_OLD!K57+TIME(12,0,0),1)</f>
        <v>9.375E-2</v>
      </c>
      <c r="L57" s="15">
        <f>MOD(EST_OLD!L57+TIME(12,0,0),1)</f>
        <v>0.1875</v>
      </c>
      <c r="M57" s="15">
        <f>MOD(EST_OLD!M57+TIME(12,0,0),1)</f>
        <v>0.3125</v>
      </c>
      <c r="N57" t="str">
        <f>EST_OLD!N57</f>
        <v>Christopher Rodas</v>
      </c>
      <c r="O57" t="s">
        <v>112</v>
      </c>
      <c r="P57">
        <f t="shared" si="2"/>
        <v>0</v>
      </c>
    </row>
    <row r="58" spans="1:16" x14ac:dyDescent="0.25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tr" cm="1">
        <f t="array" ref="H58">IFERROR(_xlfn.LET(_xlpm.s,SUBSTITUTE(IF(EST_OLD!$P58=1,EST_OLD!G58,EST_OLD!H58)," ",""),IF(_xlpm.s="OFF","OFF",TEXT(MOD(TIMEVALUE(_xlfn.TEXTBEFORE(_xlpm.s,"-"))+0.5,1),"hh:mm")&amp;" - "&amp;TEXT(MOD(TIMEVALUE(_xlfn.TEXTAFTER(_xlpm.s,"-"))+0.5,1),"hh:mm"))),IF(EST_OLD!$P58=1,'EST24'!G58,EST_OLD!H58))</f>
        <v>OFF</v>
      </c>
      <c r="I58" t="str">
        <f t="shared" si="1"/>
        <v>Mon - Tue - Sun</v>
      </c>
      <c r="J58" s="15">
        <f>MOD(EST_OLD!J58+TIME(12,0,0),1)</f>
        <v>0.76041666666666674</v>
      </c>
      <c r="K58" s="15">
        <f>MOD(EST_OLD!K58+TIME(12,0,0),1)</f>
        <v>0.97916666666666674</v>
      </c>
      <c r="L58" s="15">
        <f>MOD(EST_OLD!L58+TIME(12,0,0),1)</f>
        <v>0.89583333333333326</v>
      </c>
      <c r="M58" s="15">
        <f>MOD(EST_OLD!M58+TIME(12,0,0),1)</f>
        <v>8.3333333333333481E-2</v>
      </c>
      <c r="N58" t="str">
        <f>EST_OLD!N58</f>
        <v>Christopher Rodas</v>
      </c>
      <c r="O58" t="s">
        <v>138</v>
      </c>
      <c r="P58">
        <f t="shared" si="2"/>
        <v>0</v>
      </c>
    </row>
    <row r="59" spans="1:16" x14ac:dyDescent="0.25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tr" cm="1">
        <f t="array" ref="H59">IFERROR(_xlfn.LET(_xlpm.s,SUBSTITUTE(IF(EST_OLD!$P59=1,EST_OLD!G59,EST_OLD!H59)," ",""),IF(_xlpm.s="OFF","OFF",TEXT(MOD(TIMEVALUE(_xlfn.TEXTBEFORE(_xlpm.s,"-"))+0.5,1),"hh:mm")&amp;" - "&amp;TEXT(MOD(TIMEVALUE(_xlfn.TEXTAFTER(_xlpm.s,"-"))+0.5,1),"hh:mm"))),IF(EST_OLD!$P59=1,'EST24'!G59,EST_OLD!H59))</f>
        <v>21:00 - 08:00</v>
      </c>
      <c r="I59" t="str">
        <f t="shared" si="1"/>
        <v>Tue - Wed - Thu</v>
      </c>
      <c r="J59" s="15">
        <f>MOD(EST_OLD!J59+TIME(12,0,0),1)</f>
        <v>0.96875</v>
      </c>
      <c r="K59" s="15">
        <f>MOD(EST_OLD!K59+TIME(12,0,0),1)</f>
        <v>0.17708333333333348</v>
      </c>
      <c r="L59" s="15">
        <f>MOD(EST_OLD!L59+TIME(12,0,0),1)</f>
        <v>6.25E-2</v>
      </c>
      <c r="M59" s="15">
        <f>MOD(EST_OLD!M59+TIME(12,0,0),1)</f>
        <v>0.28125</v>
      </c>
      <c r="N59" t="str">
        <f>EST_OLD!N59</f>
        <v>Christopher Rodas</v>
      </c>
      <c r="O59" t="s">
        <v>82</v>
      </c>
      <c r="P59">
        <f t="shared" si="2"/>
        <v>0</v>
      </c>
    </row>
    <row r="60" spans="1:16" x14ac:dyDescent="0.25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tr" cm="1">
        <f t="array" ref="H60">IFERROR(_xlfn.LET(_xlpm.s,SUBSTITUTE(IF(EST_OLD!$P60=1,EST_OLD!G60,EST_OLD!H60)," ",""),IF(_xlpm.s="OFF","OFF",TEXT(MOD(TIMEVALUE(_xlfn.TEXTBEFORE(_xlpm.s,"-"))+0.5,1),"hh:mm")&amp;" - "&amp;TEXT(MOD(TIMEVALUE(_xlfn.TEXTAFTER(_xlpm.s,"-"))+0.5,1),"hh:mm"))),IF(EST_OLD!$P60=1,'EST24'!G60,EST_OLD!H60))</f>
        <v>21:00 - 08:00</v>
      </c>
      <c r="I60" t="str">
        <f t="shared" si="1"/>
        <v>Tue - Wed - Thu</v>
      </c>
      <c r="J60" s="15">
        <f>MOD(EST_OLD!J60+TIME(12,0,0),1)</f>
        <v>0.94791666666666674</v>
      </c>
      <c r="K60" s="15">
        <f>MOD(EST_OLD!K60+TIME(12,0,0),1)</f>
        <v>0.15625</v>
      </c>
      <c r="L60" s="15">
        <f>MOD(EST_OLD!L60+TIME(12,0,0),1)</f>
        <v>4.1666666666666519E-2</v>
      </c>
      <c r="M60" s="15">
        <f>MOD(EST_OLD!M60+TIME(12,0,0),1)</f>
        <v>0.26041666666666652</v>
      </c>
      <c r="N60" t="str">
        <f>EST_OLD!N60</f>
        <v>Anmecha Valencia</v>
      </c>
      <c r="O60" t="s">
        <v>82</v>
      </c>
      <c r="P60">
        <f t="shared" si="2"/>
        <v>0</v>
      </c>
    </row>
    <row r="61" spans="1:16" x14ac:dyDescent="0.25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tr" cm="1">
        <f t="array" ref="H61">IFERROR(_xlfn.LET(_xlpm.s,SUBSTITUTE(IF(EST_OLD!$P61=1,EST_OLD!G61,EST_OLD!H61)," ",""),IF(_xlpm.s="OFF","OFF",TEXT(MOD(TIMEVALUE(_xlfn.TEXTBEFORE(_xlpm.s,"-"))+0.5,1),"hh:mm")&amp;" - "&amp;TEXT(MOD(TIMEVALUE(_xlfn.TEXTAFTER(_xlpm.s,"-"))+0.5,1),"hh:mm"))),IF(EST_OLD!$P61=1,'EST24'!G61,EST_OLD!H61))</f>
        <v>12:00 - 23:00</v>
      </c>
      <c r="I61" t="str">
        <f t="shared" si="1"/>
        <v>Wed - Thu - Fri</v>
      </c>
      <c r="J61" s="15">
        <f>MOD(EST_OLD!J61+TIME(12,0,0),1)</f>
        <v>0.58333333333333337</v>
      </c>
      <c r="K61" s="15">
        <f>MOD(EST_OLD!K61+TIME(12,0,0),1)</f>
        <v>0.66666666666666663</v>
      </c>
      <c r="L61" s="15">
        <f>MOD(EST_OLD!L61+TIME(12,0,0),1)</f>
        <v>0.79166666666666674</v>
      </c>
      <c r="M61" s="15">
        <f>MOD(EST_OLD!M61+TIME(12,0,0),1)</f>
        <v>0.91666666666666674</v>
      </c>
      <c r="N61" t="str">
        <f>EST_OLD!N61</f>
        <v>Chris Borromeo</v>
      </c>
      <c r="O61" t="s">
        <v>79</v>
      </c>
      <c r="P61">
        <f t="shared" si="2"/>
        <v>0</v>
      </c>
    </row>
    <row r="62" spans="1:16" x14ac:dyDescent="0.25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tr" cm="1">
        <f t="array" ref="H62">IFERROR(_xlfn.LET(_xlpm.s,SUBSTITUTE(IF(EST_OLD!$P62=1,EST_OLD!G62,EST_OLD!H62)," ",""),IF(_xlpm.s="OFF","OFF",TEXT(MOD(TIMEVALUE(_xlfn.TEXTBEFORE(_xlpm.s,"-"))+0.5,1),"hh:mm")&amp;" - "&amp;TEXT(MOD(TIMEVALUE(_xlfn.TEXTAFTER(_xlpm.s,"-"))+0.5,1),"hh:mm"))),IF(EST_OLD!$P62=1,'EST24'!G62,EST_OLD!H62))</f>
        <v>11:00 - 22:00</v>
      </c>
      <c r="I62" t="str">
        <f t="shared" si="1"/>
        <v>Tue - Wed - Sat</v>
      </c>
      <c r="J62" s="15">
        <f>MOD(EST_OLD!J62+TIME(12,0,0),1)</f>
        <v>0.53125</v>
      </c>
      <c r="K62" s="15">
        <f>MOD(EST_OLD!K62+TIME(12,0,0),1)</f>
        <v>0.66666666666666663</v>
      </c>
      <c r="L62" s="15">
        <f>MOD(EST_OLD!L62+TIME(12,0,0),1)</f>
        <v>0.8125</v>
      </c>
      <c r="M62" s="15">
        <f>MOD(EST_OLD!M62+TIME(12,0,0),1)</f>
        <v>0.875</v>
      </c>
      <c r="N62" t="str">
        <f>EST_OLD!N62</f>
        <v>Anmecha Valencia</v>
      </c>
      <c r="O62" t="s">
        <v>58</v>
      </c>
      <c r="P62">
        <f t="shared" si="2"/>
        <v>1</v>
      </c>
    </row>
    <row r="63" spans="1:16" x14ac:dyDescent="0.25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tr" cm="1">
        <f t="array" ref="H63">IFERROR(_xlfn.LET(_xlpm.s,SUBSTITUTE(IF(EST_OLD!$P63=1,EST_OLD!G63,EST_OLD!H63)," ",""),IF(_xlpm.s="OFF","OFF",TEXT(MOD(TIMEVALUE(_xlfn.TEXTBEFORE(_xlpm.s,"-"))+0.5,1),"hh:mm")&amp;" - "&amp;TEXT(MOD(TIMEVALUE(_xlfn.TEXTAFTER(_xlpm.s,"-"))+0.5,1),"hh:mm"))),IF(EST_OLD!$P63=1,'EST24'!G63,EST_OLD!H63))</f>
        <v>OFF</v>
      </c>
      <c r="I63" t="str">
        <f t="shared" si="1"/>
        <v>Mon - Tue - Sun</v>
      </c>
      <c r="J63" s="15">
        <f>MOD(EST_OLD!J63+TIME(12,0,0),1)</f>
        <v>0.97916666666666674</v>
      </c>
      <c r="K63" s="15">
        <f>MOD(EST_OLD!K63+TIME(12,0,0),1)</f>
        <v>0.19791666666666652</v>
      </c>
      <c r="L63" s="15">
        <f>MOD(EST_OLD!L63+TIME(12,0,0),1)</f>
        <v>8.3333333333333481E-2</v>
      </c>
      <c r="M63" s="15">
        <f>MOD(EST_OLD!M63+TIME(12,0,0),1)</f>
        <v>0.30208333333333348</v>
      </c>
      <c r="N63" t="str">
        <f>EST_OLD!N63</f>
        <v>Charmane Briones</v>
      </c>
      <c r="O63" t="s">
        <v>82</v>
      </c>
      <c r="P63">
        <f t="shared" si="2"/>
        <v>0</v>
      </c>
    </row>
    <row r="64" spans="1:16" x14ac:dyDescent="0.25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tr" cm="1">
        <f t="array" ref="H64">IFERROR(_xlfn.LET(_xlpm.s,SUBSTITUTE(IF(EST_OLD!$P64=1,EST_OLD!G64,EST_OLD!H64)," ",""),IF(_xlpm.s="OFF","OFF",TEXT(MOD(TIMEVALUE(_xlfn.TEXTBEFORE(_xlpm.s,"-"))+0.5,1),"hh:mm")&amp;" - "&amp;TEXT(MOD(TIMEVALUE(_xlfn.TEXTAFTER(_xlpm.s,"-"))+0.5,1),"hh:mm"))),IF(EST_OLD!$P64=1,'EST24'!G64,EST_OLD!H64))</f>
        <v>19:00 - 06:00</v>
      </c>
      <c r="I64" t="str">
        <f t="shared" si="1"/>
        <v>Wed - Thu - Fri</v>
      </c>
      <c r="J64" s="15">
        <f>MOD(EST_OLD!J64+TIME(12,0,0),1)</f>
        <v>0.86458333333333326</v>
      </c>
      <c r="K64" s="15">
        <f>MOD(EST_OLD!K64+TIME(12,0,0),1)</f>
        <v>7.2916666666666519E-2</v>
      </c>
      <c r="L64" s="15">
        <f>MOD(EST_OLD!L64+TIME(12,0,0),1)</f>
        <v>0.94791666666666674</v>
      </c>
      <c r="M64" s="15">
        <f>MOD(EST_OLD!M64+TIME(12,0,0),1)</f>
        <v>0.17708333333333348</v>
      </c>
      <c r="N64" t="str">
        <f>EST_OLD!N64</f>
        <v>Michael Dominguez</v>
      </c>
      <c r="O64" t="s">
        <v>52</v>
      </c>
      <c r="P64">
        <f t="shared" si="2"/>
        <v>0</v>
      </c>
    </row>
    <row r="65" spans="1:16" x14ac:dyDescent="0.25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tr" cm="1">
        <f t="array" ref="H65">IFERROR(_xlfn.LET(_xlpm.s,SUBSTITUTE(IF(EST_OLD!$P65=1,EST_OLD!G65,EST_OLD!H65)," ",""),IF(_xlpm.s="OFF","OFF",TEXT(MOD(TIMEVALUE(_xlfn.TEXTBEFORE(_xlpm.s,"-"))+0.5,1),"hh:mm")&amp;" - "&amp;TEXT(MOD(TIMEVALUE(_xlfn.TEXTAFTER(_xlpm.s,"-"))+0.5,1),"hh:mm"))),IF(EST_OLD!$P65=1,'EST24'!G65,EST_OLD!H65))</f>
        <v>OFF</v>
      </c>
      <c r="I65" t="str">
        <f t="shared" si="1"/>
        <v>Thu - Sat - Sun</v>
      </c>
      <c r="J65" s="15">
        <f>MOD(EST_OLD!J65+TIME(12,0,0),1)</f>
        <v>4.1666666666666519E-2</v>
      </c>
      <c r="K65" s="15">
        <f>MOD(EST_OLD!K65+TIME(12,0,0),1)</f>
        <v>0.26041666666666652</v>
      </c>
      <c r="L65" s="15">
        <f>MOD(EST_OLD!L65+TIME(12,0,0),1)</f>
        <v>0.15625</v>
      </c>
      <c r="M65" s="15">
        <f>MOD(EST_OLD!M65+TIME(12,0,0),1)</f>
        <v>0.36458333333333348</v>
      </c>
      <c r="N65" t="str">
        <f>EST_OLD!N65</f>
        <v>Anmecha Valencia</v>
      </c>
      <c r="O65" t="s">
        <v>123</v>
      </c>
      <c r="P65">
        <f t="shared" si="2"/>
        <v>0</v>
      </c>
    </row>
    <row r="66" spans="1:16" x14ac:dyDescent="0.25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tr" cm="1">
        <f t="array" ref="H66">IFERROR(_xlfn.LET(_xlpm.s,SUBSTITUTE(IF(EST_OLD!$P66=1,EST_OLD!G66,EST_OLD!H66)," ",""),IF(_xlpm.s="OFF","OFF",TEXT(MOD(TIMEVALUE(_xlfn.TEXTBEFORE(_xlpm.s,"-"))+0.5,1),"hh:mm")&amp;" - "&amp;TEXT(MOD(TIMEVALUE(_xlfn.TEXTAFTER(_xlpm.s,"-"))+0.5,1),"hh:mm"))),IF(EST_OLD!$P66=1,'EST24'!G66,EST_OLD!H66))</f>
        <v>OFF</v>
      </c>
      <c r="I66" t="str">
        <f t="shared" si="1"/>
        <v>Fri - Sat - Sun</v>
      </c>
      <c r="J66" s="15">
        <f>MOD(EST_OLD!J66+TIME(12,0,0),1)</f>
        <v>0</v>
      </c>
      <c r="K66" s="15">
        <f>MOD(EST_OLD!K66+TIME(12,0,0),1)</f>
        <v>0.21875</v>
      </c>
      <c r="L66" s="15">
        <f>MOD(EST_OLD!L66+TIME(12,0,0),1)</f>
        <v>0.10416666666666652</v>
      </c>
      <c r="M66" s="15">
        <f>MOD(EST_OLD!M66+TIME(12,0,0),1)</f>
        <v>0.29166666666666652</v>
      </c>
      <c r="N66" t="str">
        <f>EST_OLD!N66</f>
        <v>Charmane Briones</v>
      </c>
      <c r="O66" t="s">
        <v>112</v>
      </c>
      <c r="P66">
        <f t="shared" ref="P66:P68" si="3">IF(
TIMEVALUE(LEFT(O66,FIND("-",O66)-1))&gt;=12/24,
0,
1
)</f>
        <v>0</v>
      </c>
    </row>
    <row r="67" spans="1:16" x14ac:dyDescent="0.25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tr" cm="1">
        <f t="array" ref="H67">IFERROR(_xlfn.LET(_xlpm.s,SUBSTITUTE(IF(EST_OLD!$P67=1,EST_OLD!G67,EST_OLD!H67)," ",""),IF(_xlpm.s="OFF","OFF",TEXT(MOD(TIMEVALUE(_xlfn.TEXTBEFORE(_xlpm.s,"-"))+0.5,1),"hh:mm")&amp;" - "&amp;TEXT(MOD(TIMEVALUE(_xlfn.TEXTAFTER(_xlpm.s,"-"))+0.5,1),"hh:mm"))),IF(EST_OLD!$P67=1,'EST24'!G67,EST_OLD!H67))</f>
        <v>19:00 - 06:00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15">
        <f>MOD(EST_OLD!J67+TIME(12,0,0),1)</f>
        <v>0.86458333333333326</v>
      </c>
      <c r="K67" s="15">
        <f>MOD(EST_OLD!K67+TIME(12,0,0),1)</f>
        <v>7.2916666666666519E-2</v>
      </c>
      <c r="L67" s="15">
        <f>MOD(EST_OLD!L67+TIME(12,0,0),1)</f>
        <v>0.94791666666666674</v>
      </c>
      <c r="M67" s="15">
        <f>MOD(EST_OLD!M67+TIME(12,0,0),1)</f>
        <v>0.17708333333333348</v>
      </c>
      <c r="N67" t="str">
        <f>EST_OLD!N67</f>
        <v>Christopher Rodas</v>
      </c>
      <c r="O67" t="s">
        <v>52</v>
      </c>
      <c r="P67">
        <f t="shared" si="3"/>
        <v>0</v>
      </c>
    </row>
    <row r="68" spans="1:16" x14ac:dyDescent="0.25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tr" cm="1">
        <f t="array" ref="H68">IFERROR(_xlfn.LET(_xlpm.s,SUBSTITUTE(IF(EST_OLD!$P68=1,EST_OLD!G68,EST_OLD!H68)," ",""),IF(_xlpm.s="OFF","OFF",TEXT(MOD(TIMEVALUE(_xlfn.TEXTBEFORE(_xlpm.s,"-"))+0.5,1),"hh:mm")&amp;" - "&amp;TEXT(MOD(TIMEVALUE(_xlfn.TEXTAFTER(_xlpm.s,"-"))+0.5,1),"hh:mm"))),IF(EST_OLD!$P68=1,'EST24'!G68,EST_OLD!H68))</f>
        <v>OFF</v>
      </c>
      <c r="I68" t="str">
        <f t="shared" si="4"/>
        <v>Fri - Sat - Sun</v>
      </c>
      <c r="J68" s="15">
        <f>MOD(EST_OLD!J68+TIME(12,0,0),1)</f>
        <v>0.92708333333333326</v>
      </c>
      <c r="K68" s="15">
        <f>MOD(EST_OLD!K68+TIME(12,0,0),1)</f>
        <v>0.14583333333333348</v>
      </c>
      <c r="L68" s="15">
        <f>MOD(EST_OLD!L68+TIME(12,0,0),1)</f>
        <v>1.0416666666666519E-2</v>
      </c>
      <c r="M68" s="15">
        <f>MOD(EST_OLD!M68+TIME(12,0,0),1)</f>
        <v>0.26041666666666652</v>
      </c>
      <c r="N68" t="str">
        <f>EST_OLD!N68</f>
        <v>Anmecha Valencia</v>
      </c>
      <c r="O68" t="s">
        <v>32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66"/>
  <sheetViews>
    <sheetView topLeftCell="A33" workbookViewId="0">
      <selection sqref="A1:D1048576"/>
    </sheetView>
  </sheetViews>
  <sheetFormatPr defaultRowHeight="15" x14ac:dyDescent="0.25"/>
  <cols>
    <col min="1" max="1" width="26.7109375" customWidth="1"/>
    <col min="2" max="2" width="19.140625" style="13" customWidth="1"/>
    <col min="3" max="3" width="22.5703125" customWidth="1"/>
    <col min="4" max="4" width="16.7109375" bestFit="1" customWidth="1"/>
  </cols>
  <sheetData>
    <row r="1" spans="1:4" ht="17.25" thickBot="1" x14ac:dyDescent="0.3">
      <c r="A1" s="9" t="s">
        <v>0</v>
      </c>
      <c r="B1" s="12" t="s">
        <v>156</v>
      </c>
      <c r="C1" s="9" t="s">
        <v>157</v>
      </c>
      <c r="D1" s="9" t="s">
        <v>13</v>
      </c>
    </row>
    <row r="2" spans="1:4" x14ac:dyDescent="0.25">
      <c r="A2" s="8" t="s">
        <v>73</v>
      </c>
      <c r="B2" s="13">
        <v>46315</v>
      </c>
      <c r="C2" t="s">
        <v>158</v>
      </c>
      <c r="D2" t="str">
        <f>_xlfn.IFNA(VLOOKUP(A2,'EST24'!A:N,14,FALSE),"")</f>
        <v>Christopher Rodas</v>
      </c>
    </row>
    <row r="3" spans="1:4" x14ac:dyDescent="0.25">
      <c r="A3" t="s">
        <v>39</v>
      </c>
      <c r="B3" s="13">
        <v>46315</v>
      </c>
      <c r="C3" t="s">
        <v>158</v>
      </c>
      <c r="D3" t="str">
        <f>_xlfn.IFNA(VLOOKUP(A3,'EST24'!A:N,14,FALSE),"")</f>
        <v>Michael Dominguez</v>
      </c>
    </row>
    <row r="4" spans="1:4" x14ac:dyDescent="0.25">
      <c r="A4" t="s">
        <v>16</v>
      </c>
      <c r="B4" s="13">
        <v>46315</v>
      </c>
      <c r="C4" t="s">
        <v>158</v>
      </c>
      <c r="D4" t="str">
        <f>_xlfn.IFNA(VLOOKUP(A4,'EST24'!A:N,14,FALSE),"")</f>
        <v>Remmo Panaligan</v>
      </c>
    </row>
    <row r="5" spans="1:4" x14ac:dyDescent="0.25">
      <c r="A5" t="s">
        <v>148</v>
      </c>
      <c r="B5" s="13">
        <v>46316</v>
      </c>
      <c r="C5" t="s">
        <v>158</v>
      </c>
      <c r="D5" t="str">
        <f>_xlfn.IFNA(VLOOKUP(A5,'EST24'!A:N,14,FALSE),"")</f>
        <v/>
      </c>
    </row>
    <row r="6" spans="1:4" x14ac:dyDescent="0.25">
      <c r="A6" t="s">
        <v>91</v>
      </c>
      <c r="B6" s="13">
        <v>46317</v>
      </c>
      <c r="C6" t="s">
        <v>158</v>
      </c>
      <c r="D6" t="str">
        <f>_xlfn.IFNA(VLOOKUP(A6,'EST24'!A:N,14,FALSE),"")</f>
        <v>Manilyn Abellar</v>
      </c>
    </row>
    <row r="7" spans="1:4" x14ac:dyDescent="0.25">
      <c r="A7" t="s">
        <v>45</v>
      </c>
      <c r="B7" s="13">
        <v>46317</v>
      </c>
      <c r="C7" t="s">
        <v>158</v>
      </c>
      <c r="D7" t="str">
        <f>_xlfn.IFNA(VLOOKUP(A7,'EST24'!A:N,14,FALSE),"")</f>
        <v>Anmecha Valencia</v>
      </c>
    </row>
    <row r="8" spans="1:4" x14ac:dyDescent="0.25">
      <c r="A8" t="s">
        <v>148</v>
      </c>
      <c r="B8" s="13">
        <v>46317</v>
      </c>
      <c r="C8" t="s">
        <v>158</v>
      </c>
      <c r="D8" t="str">
        <f>_xlfn.IFNA(VLOOKUP(A8,'EST24'!A:N,14,FALSE),"")</f>
        <v/>
      </c>
    </row>
    <row r="9" spans="1:4" x14ac:dyDescent="0.25">
      <c r="A9" t="s">
        <v>60</v>
      </c>
      <c r="B9" s="13">
        <v>46318</v>
      </c>
      <c r="C9" t="s">
        <v>158</v>
      </c>
      <c r="D9" t="str">
        <f>_xlfn.IFNA(VLOOKUP(A9,'EST24'!A:N,14,FALSE),"")</f>
        <v>Anmecha Valencia</v>
      </c>
    </row>
    <row r="10" spans="1:4" x14ac:dyDescent="0.25">
      <c r="A10" t="s">
        <v>48</v>
      </c>
      <c r="B10" s="13">
        <v>46318</v>
      </c>
      <c r="C10" t="s">
        <v>158</v>
      </c>
      <c r="D10" t="str">
        <f>_xlfn.IFNA(VLOOKUP(A10,'EST24'!A:N,14,FALSE),"")</f>
        <v>Michael Dominguez</v>
      </c>
    </row>
    <row r="11" spans="1:4" x14ac:dyDescent="0.25">
      <c r="A11" t="s">
        <v>122</v>
      </c>
      <c r="B11" s="13">
        <v>46318</v>
      </c>
      <c r="C11" t="s">
        <v>158</v>
      </c>
      <c r="D11" t="str">
        <f>_xlfn.IFNA(VLOOKUP(A11,'EST24'!A:N,14,FALSE),"")</f>
        <v>Anmecha Valencia</v>
      </c>
    </row>
    <row r="12" spans="1:4" x14ac:dyDescent="0.25">
      <c r="A12" t="s">
        <v>51</v>
      </c>
      <c r="B12" s="13">
        <v>46319</v>
      </c>
      <c r="C12" t="s">
        <v>159</v>
      </c>
      <c r="D12" t="str">
        <f>_xlfn.IFNA(VLOOKUP(A12,'EST24'!A:N,14,FALSE),"")</f>
        <v>Manilyn Abellar</v>
      </c>
    </row>
    <row r="13" spans="1:4" x14ac:dyDescent="0.25">
      <c r="A13" s="6" t="s">
        <v>109</v>
      </c>
      <c r="B13" s="13">
        <v>46320</v>
      </c>
      <c r="C13" t="s">
        <v>158</v>
      </c>
      <c r="D13" t="str">
        <f>_xlfn.IFNA(VLOOKUP(A13,'EST24'!A:N,14,FALSE),"")</f>
        <v>Remmo Panaligan</v>
      </c>
    </row>
    <row r="14" spans="1:4" x14ac:dyDescent="0.25">
      <c r="A14" t="s">
        <v>51</v>
      </c>
      <c r="B14" s="13">
        <v>46320</v>
      </c>
      <c r="C14" t="s">
        <v>159</v>
      </c>
      <c r="D14" t="str">
        <f>_xlfn.IFNA(VLOOKUP(A14,'EST24'!A:N,14,FALSE),"")</f>
        <v>Manilyn Abellar</v>
      </c>
    </row>
    <row r="15" spans="1:4" x14ac:dyDescent="0.25">
      <c r="A15" t="s">
        <v>126</v>
      </c>
      <c r="B15" s="13">
        <v>46321</v>
      </c>
      <c r="C15" t="s">
        <v>158</v>
      </c>
      <c r="D15" t="str">
        <f>_xlfn.IFNA(VLOOKUP(A15,'EST24'!A:N,14,FALSE),"")</f>
        <v>Michael Dominguez</v>
      </c>
    </row>
    <row r="16" spans="1:4" x14ac:dyDescent="0.25">
      <c r="A16" t="s">
        <v>87</v>
      </c>
      <c r="B16" s="13">
        <v>46321</v>
      </c>
      <c r="C16" t="s">
        <v>158</v>
      </c>
      <c r="D16" t="str">
        <f>_xlfn.IFNA(VLOOKUP(A16,'EST24'!A:N,14,FALSE),"")</f>
        <v>Remmo Panaligan</v>
      </c>
    </row>
    <row r="17" spans="1:4" x14ac:dyDescent="0.25">
      <c r="A17" t="s">
        <v>72</v>
      </c>
      <c r="B17" s="13">
        <v>46321</v>
      </c>
      <c r="C17" t="s">
        <v>158</v>
      </c>
      <c r="D17" t="str">
        <f>_xlfn.IFNA(VLOOKUP(A17,'EST24'!A:N,14,FALSE),"")</f>
        <v>Remmo Panaligan</v>
      </c>
    </row>
    <row r="18" spans="1:4" x14ac:dyDescent="0.25">
      <c r="A18" t="s">
        <v>60</v>
      </c>
      <c r="B18" s="13">
        <v>46321</v>
      </c>
      <c r="C18" t="s">
        <v>158</v>
      </c>
      <c r="D18" t="str">
        <f>_xlfn.IFNA(VLOOKUP(A18,'EST24'!A:N,14,FALSE),"")</f>
        <v>Anmecha Valencia</v>
      </c>
    </row>
    <row r="19" spans="1:4" x14ac:dyDescent="0.25">
      <c r="A19" t="s">
        <v>126</v>
      </c>
      <c r="B19" s="13">
        <v>46322</v>
      </c>
      <c r="C19" t="s">
        <v>158</v>
      </c>
      <c r="D19" t="str">
        <f>_xlfn.IFNA(VLOOKUP(A19,'EST24'!A:N,14,FALSE),"")</f>
        <v>Michael Dominguez</v>
      </c>
    </row>
    <row r="20" spans="1:4" x14ac:dyDescent="0.25">
      <c r="A20" t="s">
        <v>87</v>
      </c>
      <c r="B20" s="13">
        <v>46322</v>
      </c>
      <c r="C20" t="s">
        <v>158</v>
      </c>
      <c r="D20" t="str">
        <f>_xlfn.IFNA(VLOOKUP(A20,'EST24'!A:N,14,FALSE),"")</f>
        <v>Remmo Panaligan</v>
      </c>
    </row>
    <row r="21" spans="1:4" x14ac:dyDescent="0.25">
      <c r="A21" t="s">
        <v>72</v>
      </c>
      <c r="B21" s="13">
        <v>46322</v>
      </c>
      <c r="C21" t="s">
        <v>158</v>
      </c>
      <c r="D21" t="str">
        <f>_xlfn.IFNA(VLOOKUP(A21,'EST24'!A:N,14,FALSE),"")</f>
        <v>Remmo Panaligan</v>
      </c>
    </row>
    <row r="22" spans="1:4" x14ac:dyDescent="0.25">
      <c r="A22" t="s">
        <v>60</v>
      </c>
      <c r="B22" s="13">
        <v>46322</v>
      </c>
      <c r="C22" t="s">
        <v>158</v>
      </c>
      <c r="D22" t="str">
        <f>_xlfn.IFNA(VLOOKUP(A22,'EST24'!A:N,14,FALSE),"")</f>
        <v>Anmecha Valencia</v>
      </c>
    </row>
    <row r="23" spans="1:4" x14ac:dyDescent="0.25">
      <c r="A23" t="s">
        <v>67</v>
      </c>
      <c r="B23" s="13">
        <v>46322</v>
      </c>
      <c r="C23" t="s">
        <v>158</v>
      </c>
      <c r="D23" t="str">
        <f>_xlfn.IFNA(VLOOKUP(A23,'EST24'!A:N,14,FALSE),"")</f>
        <v>Christopher Rodas</v>
      </c>
    </row>
    <row r="24" spans="1:4" x14ac:dyDescent="0.25">
      <c r="A24" t="s">
        <v>84</v>
      </c>
      <c r="B24" s="13">
        <v>46322</v>
      </c>
      <c r="C24" t="s">
        <v>159</v>
      </c>
      <c r="D24" t="str">
        <f>_xlfn.IFNA(VLOOKUP(A24,'EST24'!A:N,14,FALSE),"")</f>
        <v>Manilyn Abellar</v>
      </c>
    </row>
    <row r="25" spans="1:4" x14ac:dyDescent="0.25">
      <c r="A25" s="16" t="s">
        <v>51</v>
      </c>
      <c r="B25" s="13">
        <v>46322</v>
      </c>
      <c r="C25" t="s">
        <v>159</v>
      </c>
      <c r="D25" t="str">
        <f>_xlfn.IFNA(VLOOKUP(A25,'EST24'!A:N,14,FALSE),"")</f>
        <v>Manilyn Abellar</v>
      </c>
    </row>
    <row r="26" spans="1:4" x14ac:dyDescent="0.25">
      <c r="A26" s="16" t="s">
        <v>67</v>
      </c>
      <c r="B26" s="13">
        <v>46323</v>
      </c>
      <c r="C26" t="s">
        <v>158</v>
      </c>
      <c r="D26" t="str">
        <f>_xlfn.IFNA(VLOOKUP(A26,'EST24'!A:N,14,FALSE),"")</f>
        <v>Christopher Rodas</v>
      </c>
    </row>
    <row r="27" spans="1:4" x14ac:dyDescent="0.25">
      <c r="A27" t="s">
        <v>28</v>
      </c>
      <c r="B27" s="13">
        <v>46323</v>
      </c>
      <c r="C27" t="s">
        <v>158</v>
      </c>
      <c r="D27" t="str">
        <f>_xlfn.IFNA(VLOOKUP(A27,'EST24'!A:N,14,FALSE),"")</f>
        <v>Manilyn Abellar</v>
      </c>
    </row>
    <row r="28" spans="1:4" x14ac:dyDescent="0.25">
      <c r="A28" s="41" t="s">
        <v>84</v>
      </c>
      <c r="B28" s="13">
        <v>46323</v>
      </c>
      <c r="C28" t="s">
        <v>159</v>
      </c>
      <c r="D28" t="str">
        <f>_xlfn.IFNA(VLOOKUP(A28,'EST24'!A:N,14,FALSE),"")</f>
        <v>Manilyn Abellar</v>
      </c>
    </row>
    <row r="29" spans="1:4" x14ac:dyDescent="0.25">
      <c r="A29" t="s">
        <v>51</v>
      </c>
      <c r="B29" s="13">
        <v>46323</v>
      </c>
      <c r="C29" t="s">
        <v>159</v>
      </c>
      <c r="D29" t="str">
        <f>_xlfn.IFNA(VLOOKUP(A29,'EST24'!A:N,14,FALSE),"")</f>
        <v>Manilyn Abellar</v>
      </c>
    </row>
    <row r="30" spans="1:4" x14ac:dyDescent="0.25">
      <c r="A30" t="s">
        <v>101</v>
      </c>
      <c r="B30" s="13">
        <v>46324</v>
      </c>
      <c r="C30" t="s">
        <v>158</v>
      </c>
      <c r="D30" t="str">
        <f>_xlfn.IFNA(VLOOKUP(A30,'EST24'!A:N,14,FALSE),"")</f>
        <v>Remmo Panaligan</v>
      </c>
    </row>
    <row r="31" spans="1:4" x14ac:dyDescent="0.25">
      <c r="A31" t="s">
        <v>50</v>
      </c>
      <c r="B31" s="13">
        <v>46324</v>
      </c>
      <c r="C31" t="s">
        <v>158</v>
      </c>
      <c r="D31" t="str">
        <f>_xlfn.IFNA(VLOOKUP(A31,'EST24'!A:N,14,FALSE),"")</f>
        <v>Christopher Rodas</v>
      </c>
    </row>
    <row r="32" spans="1:4" x14ac:dyDescent="0.25">
      <c r="A32" t="s">
        <v>60</v>
      </c>
      <c r="B32" s="13">
        <v>46324</v>
      </c>
      <c r="C32" t="s">
        <v>158</v>
      </c>
      <c r="D32" t="str">
        <f>_xlfn.IFNA(VLOOKUP(A32,'EST24'!A:N,14,FALSE),"")</f>
        <v>Anmecha Valencia</v>
      </c>
    </row>
    <row r="33" spans="1:4" x14ac:dyDescent="0.25">
      <c r="A33" t="s">
        <v>91</v>
      </c>
      <c r="B33" s="13">
        <v>46324</v>
      </c>
      <c r="C33" t="s">
        <v>158</v>
      </c>
      <c r="D33" t="str">
        <f>_xlfn.IFNA(VLOOKUP(A33,'EST24'!A:N,14,FALSE),"")</f>
        <v>Manilyn Abellar</v>
      </c>
    </row>
    <row r="34" spans="1:4" x14ac:dyDescent="0.25">
      <c r="A34" s="41" t="s">
        <v>84</v>
      </c>
      <c r="B34" s="13">
        <v>46324</v>
      </c>
      <c r="C34" t="s">
        <v>159</v>
      </c>
      <c r="D34" t="str">
        <f>_xlfn.IFNA(VLOOKUP(A34,'EST24'!A:N,14,FALSE),"")</f>
        <v>Manilyn Abellar</v>
      </c>
    </row>
    <row r="35" spans="1:4" x14ac:dyDescent="0.25">
      <c r="A35" t="s">
        <v>51</v>
      </c>
      <c r="B35" s="13">
        <v>46324</v>
      </c>
      <c r="C35" t="s">
        <v>159</v>
      </c>
      <c r="D35" t="str">
        <f>_xlfn.IFNA(VLOOKUP(A35,'EST24'!A:N,14,FALSE),"")</f>
        <v>Manilyn Abellar</v>
      </c>
    </row>
    <row r="36" spans="1:4" x14ac:dyDescent="0.25">
      <c r="A36" t="s">
        <v>75</v>
      </c>
      <c r="B36" s="13">
        <v>46325</v>
      </c>
      <c r="C36" t="s">
        <v>158</v>
      </c>
      <c r="D36" t="str">
        <f>_xlfn.IFNA(VLOOKUP(A36,'EST24'!A:N,14,FALSE),"")</f>
        <v>Manilyn Abellar</v>
      </c>
    </row>
    <row r="37" spans="1:4" x14ac:dyDescent="0.25">
      <c r="A37" s="41" t="s">
        <v>84</v>
      </c>
      <c r="B37" s="13">
        <v>46325</v>
      </c>
      <c r="C37" t="s">
        <v>159</v>
      </c>
      <c r="D37" t="str">
        <f>_xlfn.IFNA(VLOOKUP(A37,'EST24'!A:N,14,FALSE),"")</f>
        <v>Manilyn Abellar</v>
      </c>
    </row>
    <row r="38" spans="1:4" x14ac:dyDescent="0.25">
      <c r="A38" t="s">
        <v>51</v>
      </c>
      <c r="B38" s="13">
        <v>46325</v>
      </c>
      <c r="C38" t="s">
        <v>159</v>
      </c>
      <c r="D38" t="str">
        <f>_xlfn.IFNA(VLOOKUP(A38,'EST24'!A:N,14,FALSE),"")</f>
        <v>Manilyn Abellar</v>
      </c>
    </row>
    <row r="39" spans="1:4" x14ac:dyDescent="0.25">
      <c r="A39" t="s">
        <v>60</v>
      </c>
      <c r="B39" s="13">
        <v>46325</v>
      </c>
      <c r="C39" t="s">
        <v>158</v>
      </c>
      <c r="D39" t="str">
        <f>_xlfn.IFNA(VLOOKUP(A39,'EST24'!A:N,14,FALSE),"")</f>
        <v>Anmecha Valencia</v>
      </c>
    </row>
    <row r="40" spans="1:4" x14ac:dyDescent="0.25">
      <c r="A40" t="s">
        <v>48</v>
      </c>
      <c r="B40" s="13">
        <v>46325</v>
      </c>
      <c r="C40" t="s">
        <v>158</v>
      </c>
      <c r="D40" t="str">
        <f>_xlfn.IFNA(VLOOKUP(A40,'EST24'!A:N,14,FALSE),"")</f>
        <v>Michael Dominguez</v>
      </c>
    </row>
    <row r="41" spans="1:4" x14ac:dyDescent="0.25">
      <c r="A41" t="s">
        <v>24</v>
      </c>
      <c r="B41" s="13">
        <v>46325</v>
      </c>
      <c r="C41" t="s">
        <v>158</v>
      </c>
      <c r="D41" t="str">
        <f>_xlfn.IFNA(VLOOKUP(A41,'EST24'!A:N,14,FALSE),"")</f>
        <v>Manilyn Abellar</v>
      </c>
    </row>
    <row r="42" spans="1:4" x14ac:dyDescent="0.25">
      <c r="A42" t="s">
        <v>62</v>
      </c>
      <c r="B42" s="13">
        <v>46326</v>
      </c>
      <c r="C42" t="s">
        <v>158</v>
      </c>
      <c r="D42" t="str">
        <f>_xlfn.IFNA(VLOOKUP(A42,'EST24'!A:N,14,FALSE),"")</f>
        <v>Christopher Rodas</v>
      </c>
    </row>
    <row r="43" spans="1:4" x14ac:dyDescent="0.25">
      <c r="A43" s="41" t="s">
        <v>84</v>
      </c>
      <c r="B43" s="13">
        <v>46326</v>
      </c>
      <c r="C43" t="s">
        <v>159</v>
      </c>
      <c r="D43" t="str">
        <f>_xlfn.IFNA(VLOOKUP(A43,'EST24'!A:N,14,FALSE),"")</f>
        <v>Manilyn Abellar</v>
      </c>
    </row>
    <row r="44" spans="1:4" x14ac:dyDescent="0.25">
      <c r="A44" t="s">
        <v>51</v>
      </c>
      <c r="B44" s="13">
        <v>46326</v>
      </c>
      <c r="C44" t="s">
        <v>159</v>
      </c>
      <c r="D44" t="str">
        <f>_xlfn.IFNA(VLOOKUP(A44,'EST24'!A:N,14,FALSE),"")</f>
        <v>Manilyn Abellar</v>
      </c>
    </row>
    <row r="45" spans="1:4" x14ac:dyDescent="0.25">
      <c r="A45" t="s">
        <v>51</v>
      </c>
      <c r="B45" s="13">
        <v>46327</v>
      </c>
      <c r="C45" t="s">
        <v>159</v>
      </c>
      <c r="D45" t="str">
        <f>_xlfn.IFNA(VLOOKUP(A45,'EST24'!A:N,14,FALSE),"")</f>
        <v>Manilyn Abellar</v>
      </c>
    </row>
    <row r="46" spans="1:4" x14ac:dyDescent="0.25">
      <c r="A46" t="s">
        <v>73</v>
      </c>
      <c r="B46" s="13">
        <v>46327</v>
      </c>
      <c r="C46" t="s">
        <v>158</v>
      </c>
      <c r="D46" t="str">
        <f>_xlfn.IFNA(VLOOKUP(A46,'EST24'!A:N,14,FALSE),"")</f>
        <v>Christopher Rodas</v>
      </c>
    </row>
    <row r="47" spans="1:4" x14ac:dyDescent="0.25">
      <c r="A47" t="s">
        <v>110</v>
      </c>
      <c r="B47" s="13">
        <v>46327</v>
      </c>
      <c r="C47" t="s">
        <v>158</v>
      </c>
      <c r="D47" t="str">
        <f>_xlfn.IFNA(VLOOKUP(A47,'EST24'!A:N,14,FALSE),"")</f>
        <v>Christopher Rodas</v>
      </c>
    </row>
    <row r="48" spans="1:4" x14ac:dyDescent="0.25">
      <c r="A48" t="s">
        <v>160</v>
      </c>
      <c r="B48" s="13">
        <v>46328</v>
      </c>
      <c r="C48" t="s">
        <v>159</v>
      </c>
      <c r="D48" t="s">
        <v>42</v>
      </c>
    </row>
    <row r="49" spans="1:4" x14ac:dyDescent="0.25">
      <c r="A49" t="s">
        <v>91</v>
      </c>
      <c r="B49" s="13">
        <v>46328</v>
      </c>
      <c r="C49" t="s">
        <v>158</v>
      </c>
      <c r="D49" t="str">
        <f>_xlfn.IFNA(VLOOKUP(A49,'EST24'!A:N,14,FALSE),"")</f>
        <v>Manilyn Abellar</v>
      </c>
    </row>
    <row r="50" spans="1:4" x14ac:dyDescent="0.25">
      <c r="A50" t="s">
        <v>73</v>
      </c>
      <c r="B50" s="13">
        <v>46328</v>
      </c>
      <c r="C50" t="s">
        <v>158</v>
      </c>
      <c r="D50" t="str">
        <f>_xlfn.IFNA(VLOOKUP(A50,'EST24'!A:N,14,FALSE),"")</f>
        <v>Christopher Rodas</v>
      </c>
    </row>
    <row r="51" spans="1:4" x14ac:dyDescent="0.25">
      <c r="A51" t="s">
        <v>161</v>
      </c>
      <c r="B51" s="13">
        <v>46328</v>
      </c>
      <c r="C51" t="s">
        <v>158</v>
      </c>
      <c r="D51" t="s">
        <v>34</v>
      </c>
    </row>
    <row r="52" spans="1:4" x14ac:dyDescent="0.25">
      <c r="A52" t="s">
        <v>160</v>
      </c>
      <c r="B52" s="13">
        <v>46329</v>
      </c>
      <c r="C52" t="s">
        <v>159</v>
      </c>
      <c r="D52" t="s">
        <v>42</v>
      </c>
    </row>
    <row r="53" spans="1:4" x14ac:dyDescent="0.25">
      <c r="A53" t="s">
        <v>16</v>
      </c>
      <c r="B53" s="13">
        <v>46329</v>
      </c>
      <c r="C53" t="s">
        <v>158</v>
      </c>
      <c r="D53" t="str">
        <f>_xlfn.IFNA(VLOOKUP(A53,'EST24'!A:N,14,FALSE),"")</f>
        <v>Remmo Panaligan</v>
      </c>
    </row>
    <row r="54" spans="1:4" x14ac:dyDescent="0.25">
      <c r="A54" t="s">
        <v>73</v>
      </c>
      <c r="B54" s="13">
        <v>46329</v>
      </c>
      <c r="C54" t="s">
        <v>158</v>
      </c>
      <c r="D54" t="str">
        <f>_xlfn.IFNA(VLOOKUP(A54,'EST24'!A:N,14,FALSE),"")</f>
        <v>Christopher Rodas</v>
      </c>
    </row>
    <row r="55" spans="1:4" x14ac:dyDescent="0.25">
      <c r="A55" t="s">
        <v>92</v>
      </c>
      <c r="B55" s="13">
        <v>46329</v>
      </c>
      <c r="C55" t="s">
        <v>158</v>
      </c>
      <c r="D55" t="str">
        <f>_xlfn.IFNA(VLOOKUP(A55,'EST24'!A:N,14,FALSE),"")</f>
        <v>Christopher Rodas</v>
      </c>
    </row>
    <row r="56" spans="1:4" x14ac:dyDescent="0.25">
      <c r="A56" t="s">
        <v>130</v>
      </c>
      <c r="B56" s="13">
        <v>46330</v>
      </c>
      <c r="C56" t="s">
        <v>158</v>
      </c>
      <c r="D56" t="str">
        <f>_xlfn.IFNA(VLOOKUP(A56,'EST24'!A:N,14,FALSE),"")</f>
        <v>Anmecha Valencia</v>
      </c>
    </row>
    <row r="57" spans="1:4" x14ac:dyDescent="0.25">
      <c r="A57" t="s">
        <v>162</v>
      </c>
      <c r="B57" s="13">
        <v>46330</v>
      </c>
      <c r="C57" t="s">
        <v>158</v>
      </c>
      <c r="D57" t="s">
        <v>34</v>
      </c>
    </row>
    <row r="58" spans="1:4" x14ac:dyDescent="0.25">
      <c r="A58" t="s">
        <v>73</v>
      </c>
      <c r="B58" s="13">
        <v>46330</v>
      </c>
      <c r="C58" t="s">
        <v>158</v>
      </c>
      <c r="D58" t="str">
        <f>_xlfn.IFNA(VLOOKUP(A58,'EST24'!A:N,14,FALSE),"")</f>
        <v>Christopher Rodas</v>
      </c>
    </row>
    <row r="59" spans="1:4" x14ac:dyDescent="0.25">
      <c r="A59" t="s">
        <v>92</v>
      </c>
      <c r="B59" s="13">
        <v>46330</v>
      </c>
      <c r="C59" t="s">
        <v>158</v>
      </c>
      <c r="D59" t="str">
        <f>_xlfn.IFNA(VLOOKUP(A59,'EST24'!A:N,14,FALSE),"")</f>
        <v>Christopher Rodas</v>
      </c>
    </row>
    <row r="60" spans="1:4" x14ac:dyDescent="0.25">
      <c r="A60" t="s">
        <v>163</v>
      </c>
      <c r="B60" s="13">
        <v>46331</v>
      </c>
      <c r="C60" t="s">
        <v>158</v>
      </c>
      <c r="D60" t="s">
        <v>38</v>
      </c>
    </row>
    <row r="61" spans="1:4" x14ac:dyDescent="0.25">
      <c r="A61" t="s">
        <v>164</v>
      </c>
      <c r="B61" s="13">
        <v>46331</v>
      </c>
      <c r="C61" t="s">
        <v>158</v>
      </c>
      <c r="D61" t="s">
        <v>20</v>
      </c>
    </row>
    <row r="62" spans="1:4" x14ac:dyDescent="0.25">
      <c r="A62" t="s">
        <v>91</v>
      </c>
      <c r="B62" s="13">
        <v>46331</v>
      </c>
      <c r="C62" t="s">
        <v>158</v>
      </c>
      <c r="D62" t="str">
        <f>_xlfn.IFNA(VLOOKUP(A62,'EST24'!A:N,14,FALSE),"")</f>
        <v>Manilyn Abellar</v>
      </c>
    </row>
    <row r="63" spans="1:4" x14ac:dyDescent="0.25">
      <c r="A63" t="s">
        <v>92</v>
      </c>
      <c r="B63" s="13">
        <v>46331</v>
      </c>
      <c r="C63" t="s">
        <v>158</v>
      </c>
      <c r="D63" t="str">
        <f>_xlfn.IFNA(VLOOKUP(A63,'EST24'!A:N,14,FALSE),"")</f>
        <v>Christopher Rodas</v>
      </c>
    </row>
    <row r="64" spans="1:4" x14ac:dyDescent="0.25">
      <c r="A64" t="s">
        <v>92</v>
      </c>
      <c r="B64" s="13">
        <v>46332</v>
      </c>
      <c r="C64" t="s">
        <v>158</v>
      </c>
      <c r="D64" t="str">
        <f>_xlfn.IFNA(VLOOKUP(A64,'EST24'!A:N,14,FALSE),"")</f>
        <v>Christopher Rodas</v>
      </c>
    </row>
    <row r="65" spans="1:4" x14ac:dyDescent="0.25">
      <c r="A65" t="s">
        <v>160</v>
      </c>
      <c r="B65" s="13">
        <v>46333</v>
      </c>
      <c r="C65" t="s">
        <v>158</v>
      </c>
      <c r="D65" t="s">
        <v>42</v>
      </c>
    </row>
    <row r="66" spans="1:4" x14ac:dyDescent="0.25">
      <c r="A66" t="s">
        <v>160</v>
      </c>
      <c r="B66" s="13">
        <v>46334</v>
      </c>
      <c r="C66" t="s">
        <v>158</v>
      </c>
      <c r="D66" t="s">
        <v>42</v>
      </c>
    </row>
  </sheetData>
  <autoFilter ref="A1:D66" xr:uid="{7AC4105F-36DE-413B-8CE0-3469CE31C697}">
    <sortState xmlns:xlrd2="http://schemas.microsoft.com/office/spreadsheetml/2017/richdata2" ref="A2:D66">
      <sortCondition ref="B1:B66"/>
    </sortState>
  </autoFilter>
  <conditionalFormatting sqref="A2">
    <cfRule type="cellIs" dxfId="20" priority="2" operator="equal">
      <formula>"OFF"</formula>
    </cfRule>
  </conditionalFormatting>
  <conditionalFormatting sqref="A13">
    <cfRule type="cellIs" dxfId="19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8"/>
  <sheetViews>
    <sheetView workbookViewId="0">
      <selection sqref="A1:D1048576"/>
    </sheetView>
  </sheetViews>
  <sheetFormatPr defaultRowHeight="15" x14ac:dyDescent="0.25"/>
  <cols>
    <col min="1" max="1" width="28.7109375" style="11" bestFit="1" customWidth="1"/>
    <col min="2" max="2" width="15.28515625" style="13" customWidth="1"/>
    <col min="3" max="3" width="25.85546875" style="11" customWidth="1"/>
    <col min="4" max="4" width="16.7109375" bestFit="1" customWidth="1"/>
  </cols>
  <sheetData>
    <row r="1" spans="1:4" ht="16.5" x14ac:dyDescent="0.25">
      <c r="A1" s="42" t="s">
        <v>0</v>
      </c>
      <c r="B1" s="12" t="s">
        <v>156</v>
      </c>
      <c r="C1" s="10" t="s">
        <v>157</v>
      </c>
      <c r="D1" s="10" t="s">
        <v>13</v>
      </c>
    </row>
    <row r="2" spans="1:4" x14ac:dyDescent="0.25">
      <c r="A2" s="43" t="s">
        <v>57</v>
      </c>
      <c r="B2" s="13">
        <v>46315</v>
      </c>
      <c r="C2" s="11" t="s">
        <v>165</v>
      </c>
      <c r="D2" t="str">
        <f>VLOOKUP(A2,'EST24'!A:N,14,FALSE)</f>
        <v>Anmecha Valencia</v>
      </c>
    </row>
    <row r="3" spans="1:4" x14ac:dyDescent="0.25">
      <c r="A3" s="11" t="s">
        <v>69</v>
      </c>
      <c r="B3" s="13">
        <v>46316</v>
      </c>
      <c r="C3" s="11" t="s">
        <v>166</v>
      </c>
      <c r="D3" t="str">
        <f>VLOOKUP(A3,'EST24'!A:N,14,FALSE)</f>
        <v>Michael Dominguez</v>
      </c>
    </row>
    <row r="4" spans="1:4" x14ac:dyDescent="0.25">
      <c r="A4" s="17" t="s">
        <v>57</v>
      </c>
      <c r="B4" s="13">
        <v>46316</v>
      </c>
      <c r="C4" s="11" t="s">
        <v>167</v>
      </c>
      <c r="D4" t="str">
        <f>VLOOKUP(A4,'EST24'!A:N,14,FALSE)</f>
        <v>Anmecha Valencia</v>
      </c>
    </row>
    <row r="5" spans="1:4" x14ac:dyDescent="0.25">
      <c r="A5" s="11" t="s">
        <v>95</v>
      </c>
      <c r="B5" s="13">
        <v>46316</v>
      </c>
      <c r="C5" s="11" t="s">
        <v>168</v>
      </c>
      <c r="D5" t="str">
        <f>VLOOKUP(A5,'EST24'!A:N,14,FALSE)</f>
        <v>Christopher Rodas</v>
      </c>
    </row>
    <row r="6" spans="1:4" x14ac:dyDescent="0.25">
      <c r="A6" s="17" t="s">
        <v>24</v>
      </c>
      <c r="B6" s="13">
        <v>46318</v>
      </c>
      <c r="C6" s="11" t="s">
        <v>165</v>
      </c>
      <c r="D6" t="str">
        <f>VLOOKUP(A6,'EST24'!A:N,14,FALSE)</f>
        <v>Manilyn Abellar</v>
      </c>
    </row>
    <row r="7" spans="1:4" x14ac:dyDescent="0.25">
      <c r="A7" s="17" t="s">
        <v>130</v>
      </c>
      <c r="B7" s="13">
        <v>46318</v>
      </c>
      <c r="C7" s="11" t="s">
        <v>165</v>
      </c>
      <c r="D7" t="str">
        <f>VLOOKUP(A7,'EST24'!A:N,14,FALSE)</f>
        <v>Anmecha Valencia</v>
      </c>
    </row>
    <row r="8" spans="1:4" x14ac:dyDescent="0.25">
      <c r="A8" s="11" t="s">
        <v>115</v>
      </c>
      <c r="B8" s="13">
        <v>46319</v>
      </c>
      <c r="C8" s="11" t="s">
        <v>165</v>
      </c>
      <c r="D8" t="str">
        <f>_xlfn.IFNA(VLOOKUP(A8,'EST24'!A:N,14,FALSE),"")</f>
        <v>Christopher Rodas</v>
      </c>
    </row>
    <row r="9" spans="1:4" x14ac:dyDescent="0.25">
      <c r="A9" s="11" t="s">
        <v>122</v>
      </c>
      <c r="B9" s="13">
        <v>46319</v>
      </c>
      <c r="C9" s="11" t="s">
        <v>165</v>
      </c>
      <c r="D9" t="str">
        <f>_xlfn.IFNA(VLOOKUP(A9,'EST24'!A:N,14,FALSE),"")</f>
        <v>Anmecha Valencia</v>
      </c>
    </row>
    <row r="10" spans="1:4" x14ac:dyDescent="0.25">
      <c r="A10" s="11" t="s">
        <v>115</v>
      </c>
      <c r="B10" s="13">
        <v>46320</v>
      </c>
      <c r="C10" s="11" t="s">
        <v>165</v>
      </c>
      <c r="D10" t="str">
        <f>_xlfn.IFNA(VLOOKUP(A10,'EST24'!A:N,14,FALSE),"")</f>
        <v>Christopher Rodas</v>
      </c>
    </row>
    <row r="11" spans="1:4" x14ac:dyDescent="0.25">
      <c r="A11" s="17" t="s">
        <v>128</v>
      </c>
      <c r="B11" s="13">
        <v>46320</v>
      </c>
      <c r="C11" s="11" t="s">
        <v>165</v>
      </c>
      <c r="D11" t="str">
        <f>_xlfn.IFNA(VLOOKUP(A11,'EST24'!A:N,14,FALSE),"")</f>
        <v>Michael Dominguez</v>
      </c>
    </row>
    <row r="12" spans="1:4" x14ac:dyDescent="0.25">
      <c r="A12" s="17" t="s">
        <v>118</v>
      </c>
      <c r="B12" s="13">
        <v>46320</v>
      </c>
      <c r="C12" s="11" t="s">
        <v>165</v>
      </c>
      <c r="D12" t="str">
        <f>_xlfn.IFNA(VLOOKUP(A12,'EST24'!A:N,14,FALSE),"")</f>
        <v>Christopher Rodas</v>
      </c>
    </row>
    <row r="13" spans="1:4" x14ac:dyDescent="0.25">
      <c r="A13" s="11" t="s">
        <v>122</v>
      </c>
      <c r="B13" s="13">
        <v>46320</v>
      </c>
      <c r="C13" s="11" t="s">
        <v>165</v>
      </c>
      <c r="D13" t="str">
        <f>_xlfn.IFNA(VLOOKUP(A13,'EST24'!A:N,14,FALSE),"")</f>
        <v>Anmecha Valencia</v>
      </c>
    </row>
    <row r="14" spans="1:4" x14ac:dyDescent="0.25">
      <c r="A14" s="17" t="s">
        <v>45</v>
      </c>
      <c r="B14" s="13">
        <v>46321</v>
      </c>
      <c r="C14" s="11" t="s">
        <v>165</v>
      </c>
      <c r="D14" t="str">
        <f>_xlfn.IFNA(VLOOKUP(A14,'EST24'!A:N,14,FALSE),"")</f>
        <v>Anmecha Valencia</v>
      </c>
    </row>
    <row r="15" spans="1:4" x14ac:dyDescent="0.25">
      <c r="A15" s="11" t="s">
        <v>115</v>
      </c>
      <c r="B15" s="13">
        <v>46321</v>
      </c>
      <c r="C15" s="11" t="s">
        <v>165</v>
      </c>
      <c r="D15" t="str">
        <f>_xlfn.IFNA(VLOOKUP(A15,'EST24'!A:N,14,FALSE),"")</f>
        <v>Christopher Rodas</v>
      </c>
    </row>
    <row r="16" spans="1:4" x14ac:dyDescent="0.25">
      <c r="A16" s="17" t="s">
        <v>118</v>
      </c>
      <c r="B16" s="13">
        <v>46321</v>
      </c>
      <c r="C16" s="11" t="s">
        <v>165</v>
      </c>
      <c r="D16" t="str">
        <f>_xlfn.IFNA(VLOOKUP(A16,'EST24'!A:N,14,FALSE),"")</f>
        <v>Christopher Rodas</v>
      </c>
    </row>
    <row r="17" spans="4:4" x14ac:dyDescent="0.25">
      <c r="D17" t="str">
        <f>_xlfn.IFNA(VLOOKUP(A17,'EST24'!A:N,14,FALSE),"")</f>
        <v/>
      </c>
    </row>
    <row r="18" spans="4:4" x14ac:dyDescent="0.25">
      <c r="D18" t="str">
        <f>_xlfn.IFNA(VLOOKUP(A18,'EST24'!A:N,14,FALSE),"")</f>
        <v/>
      </c>
    </row>
  </sheetData>
  <conditionalFormatting sqref="A2">
    <cfRule type="cellIs" dxfId="18" priority="8" operator="equal">
      <formula>"OFF"</formula>
    </cfRule>
  </conditionalFormatting>
  <conditionalFormatting sqref="A4">
    <cfRule type="cellIs" dxfId="17" priority="7" operator="equal">
      <formula>"OFF"</formula>
    </cfRule>
  </conditionalFormatting>
  <conditionalFormatting sqref="A6:A7">
    <cfRule type="cellIs" dxfId="16" priority="5" operator="equal">
      <formula>"OFF"</formula>
    </cfRule>
  </conditionalFormatting>
  <conditionalFormatting sqref="A11:A12">
    <cfRule type="cellIs" dxfId="15" priority="3" operator="equal">
      <formula>"OFF"</formula>
    </cfRule>
  </conditionalFormatting>
  <conditionalFormatting sqref="A14">
    <cfRule type="cellIs" dxfId="14" priority="2" operator="equal">
      <formula>"OFF"</formula>
    </cfRule>
  </conditionalFormatting>
  <conditionalFormatting sqref="A16">
    <cfRule type="cellIs" dxfId="13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"/>
  <sheetViews>
    <sheetView workbookViewId="0">
      <selection activeCell="D23" sqref="D23"/>
    </sheetView>
  </sheetViews>
  <sheetFormatPr defaultRowHeight="15" x14ac:dyDescent="0.2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EST</vt:lpstr>
      <vt:lpstr>PH</vt:lpstr>
      <vt:lpstr>EST24</vt:lpstr>
      <vt:lpstr>PH24</vt:lpstr>
      <vt:lpstr>EST_OLD</vt:lpstr>
      <vt:lpstr>PH_OLD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2026-10-28T00:43:24Z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