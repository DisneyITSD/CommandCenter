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21" documentId="8_{3D986408-3F70-4028-ABB2-0B6A1225D05C}" xr6:coauthVersionLast="47" xr6:coauthVersionMax="47" xr10:uidLastSave="{C69196F1-4DA7-4EB6-9B55-DF5807627A6D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1" i="2" l="1"/>
  <c r="D32" i="2"/>
  <c r="D33" i="2"/>
  <c r="D34" i="2"/>
  <c r="D35" i="2"/>
  <c r="D36" i="2"/>
  <c r="D30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<sst xmlns="http://schemas.openxmlformats.org/spreadsheetml/2006/main" count="831" uniqueCount="140">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</sst>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A15" sqref="A1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138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7" priority="3" operator="equal">
      <formula>"OFF"</formula>
    </cfRule>
  </conditionalFormatting>
  <conditionalFormatting sqref="I57:I58">
    <cfRule type="cellIs" dxfId="6" priority="4" operator="equal">
      <formula>"OFF"</formula>
    </cfRule>
  </conditionalFormatting>
  <conditionalFormatting sqref="O2:O61">
    <cfRule type="cellIs" dxfId="5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139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6"/>
  <sheetViews>
    <sheetView tabSelected="1" topLeftCell="A5" workbookViewId="0">
      <selection activeCell="A30" sqref="A30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137</v>
      </c>
      <c r="C1" s="24" t="s">
        <v>121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123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123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123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123</v>
      </c>
      <c r="D5" t="str">
        <f>VLOOKUP(A5,EST!A:N,14,FALSE)</f>
        <v>Michael Dominguez</v>
      </c>
    </row>
    <row r="6" spans="1:4" x14ac:dyDescent="0.3">
      <c r="A6" t="s">
        <v>94</v>
      </c>
      <c r="B6" s="29">
        <v>46317</v>
      </c>
      <c r="C6" t="s">
        <v>123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123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123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123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123</v>
      </c>
      <c r="D10" t="str">
        <f>VLOOKUP(A10,EST!A:N,14,FALSE)</f>
        <v>Michael Dominguez</v>
      </c>
    </row>
    <row r="11" spans="1:4" x14ac:dyDescent="0.3">
      <c r="A11" t="s">
        <v>115</v>
      </c>
      <c r="B11" s="29">
        <v>46318</v>
      </c>
      <c r="C11" t="s">
        <v>123</v>
      </c>
      <c r="D11" t="str">
        <f>VLOOKUP(A11,EST!A:N,14,FALSE)</f>
        <v>Anmecha Valencia</v>
      </c>
    </row>
    <row r="12" spans="1:4" x14ac:dyDescent="0.3">
      <c r="A12" t="s">
        <v>107</v>
      </c>
      <c r="B12" s="29">
        <v>46320</v>
      </c>
      <c r="C12" t="s">
        <v>123</v>
      </c>
      <c r="D12" t="str">
        <f>VLOOKUP(A12,EST!A:N,14,FALSE)</f>
        <v>Remmo Panaligan</v>
      </c>
    </row>
    <row r="13" spans="1:4" x14ac:dyDescent="0.3">
      <c r="A13" t="s">
        <v>117</v>
      </c>
      <c r="B13" s="29">
        <v>46321</v>
      </c>
      <c r="C13" t="s">
        <v>123</v>
      </c>
      <c r="D13" t="str">
        <f>VLOOKUP(A13,EST!A:N,14,FALSE)</f>
        <v>Michael Dominguez</v>
      </c>
    </row>
    <row r="14" spans="1:4" x14ac:dyDescent="0.3">
      <c r="A14" t="s">
        <v>92</v>
      </c>
      <c r="B14" s="29">
        <v>46321</v>
      </c>
      <c r="C14" t="s">
        <v>123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123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123</v>
      </c>
      <c r="D16" t="str">
        <f>VLOOKUP(A16,EST!A:N,14,FALSE)</f>
        <v>Anmecha Valencia</v>
      </c>
    </row>
    <row r="17" spans="1:4" x14ac:dyDescent="0.3">
      <c r="A17" t="s">
        <v>117</v>
      </c>
      <c r="B17" s="29">
        <v>46322</v>
      </c>
      <c r="C17" t="s">
        <v>123</v>
      </c>
      <c r="D17" t="str">
        <f>VLOOKUP(A17,EST!A:N,14,FALSE)</f>
        <v>Michael Dominguez</v>
      </c>
    </row>
    <row r="18" spans="1:4" x14ac:dyDescent="0.3">
      <c r="A18" t="s">
        <v>92</v>
      </c>
      <c r="B18" s="29">
        <v>46322</v>
      </c>
      <c r="C18" t="s">
        <v>123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123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123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123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123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123</v>
      </c>
      <c r="D23" t="str">
        <f>VLOOKUP(A23,EST!A:N,14,FALSE)</f>
        <v>Manilyn Abellar</v>
      </c>
    </row>
    <row r="24" spans="1:4" x14ac:dyDescent="0.3">
      <c r="A24" t="s">
        <v>101</v>
      </c>
      <c r="B24" s="29">
        <v>46324</v>
      </c>
      <c r="C24" t="s">
        <v>123</v>
      </c>
      <c r="D24" t="str">
        <f>VLOOKUP(A24,EST!A:N,14,FALSE)</f>
        <v>Remmo Panaligan</v>
      </c>
    </row>
    <row r="25" spans="1:4" x14ac:dyDescent="0.3">
      <c r="A25" t="s">
        <v>124</v>
      </c>
      <c r="B25" s="29">
        <v>46324</v>
      </c>
      <c r="C25" t="s">
        <v>123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123</v>
      </c>
      <c r="D26" t="str">
        <f>VLOOKUP(A26,EST!A:N,14,FALSE)</f>
        <v>Anmecha Valencia</v>
      </c>
    </row>
    <row r="27" spans="1:4" x14ac:dyDescent="0.3">
      <c r="A27" t="s">
        <v>94</v>
      </c>
      <c r="B27" s="29">
        <v>46324</v>
      </c>
      <c r="C27" t="s">
        <v>123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123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123</v>
      </c>
      <c r="D29" t="str">
        <f>VLOOKUP(A29,EST!A:N,14,FALSE)</f>
        <v>Christopher Rodas</v>
      </c>
    </row>
    <row r="30" spans="1:4" x14ac:dyDescent="0.3">
      <c r="A30" t="s">
        <v>75</v>
      </c>
      <c r="B30" s="29">
        <v>46319</v>
      </c>
      <c r="C30" t="s">
        <v>123</v>
      </c>
      <c r="D30" t="str">
        <f>_xlfn.IFNA(VLOOKUP(A30,EST!A:N,14,FALSE),"")</f>
        <v>Manilyn Abellar</v>
      </c>
    </row>
    <row r="31" spans="1:4" x14ac:dyDescent="0.3">
      <c r="D31" t="str">
        <f>_xlfn.IFNA(VLOOKUP(A31,EST!A:N,14,FALSE),"")</f>
        <v/>
      </c>
    </row>
    <row r="32" spans="1:4" x14ac:dyDescent="0.3">
      <c r="D32" t="str">
        <f>_xlfn.IFNA(VLOOKUP(A32,EST!A:N,14,FALSE),"")</f>
        <v/>
      </c>
    </row>
    <row r="33" spans="4:4" x14ac:dyDescent="0.3">
      <c r="D33" t="str">
        <f>_xlfn.IFNA(VLOOKUP(A33,EST!A:N,14,FALSE),"")</f>
        <v/>
      </c>
    </row>
    <row r="34" spans="4:4" x14ac:dyDescent="0.3">
      <c r="D34" t="str">
        <f>_xlfn.IFNA(VLOOKUP(A34,EST!A:N,14,FALSE),"")</f>
        <v/>
      </c>
    </row>
    <row r="35" spans="4:4" x14ac:dyDescent="0.3">
      <c r="D35" t="str">
        <f>_xlfn.IFNA(VLOOKUP(A35,EST!A:N,14,FALSE),"")</f>
        <v/>
      </c>
    </row>
    <row r="36" spans="4:4" x14ac:dyDescent="0.3">
      <c r="D36" t="str">
        <f>_xlfn.IFNA(VLOOKUP(A36,EST!A:N,14,FALSE),"")</f>
        <v/>
      </c>
    </row>
  </sheetData>
  <conditionalFormatting sqref="A2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19" sqref="A19"/>
    </sheetView>
  </sheetViews>
  <sheetFormatPr defaultRowHeight="14.4" x14ac:dyDescent="0.3"/>
  <cols>
    <col min="1" max="1" width="28.6640625" style="27" bestFit="1" customWidth="1"/>
    <col min="2" max="2" width="15.21875" style="29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137</v>
      </c>
      <c r="C1" s="25" t="s">
        <v>121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122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125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126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127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122</v>
      </c>
      <c r="D7" t="str">
        <f>VLOOKUP(A7,EST!A:N,14,FALSE)</f>
        <v>Anmecha Valencia</v>
      </c>
    </row>
    <row r="8" spans="1:4" x14ac:dyDescent="0.3">
      <c r="A8" s="27" t="s">
        <v>111</v>
      </c>
      <c r="B8" s="29">
        <v>46319</v>
      </c>
      <c r="C8" s="27" t="s">
        <v>122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3" priority="4" operator="equal">
      <formula>"OFF"</formula>
    </cfRule>
  </conditionalFormatting>
  <conditionalFormatting sqref="A4">
    <cfRule type="cellIs" dxfId="2" priority="3" operator="equal">
      <formula>"OFF"</formula>
    </cfRule>
  </conditionalFormatting>
  <conditionalFormatting sqref="A6:A7">
    <cfRule type="cellIs" dxfId="1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2026-10-24T20:58:32Z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