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511" documentId="8_{3D986408-3F70-4028-ABB2-0B6A1225D05C}" xr6:coauthVersionLast="47" xr6:coauthVersionMax="47" xr10:uidLastSave="{EC7A2BC6-C54F-4B72-8266-894A963AA30E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" i="3" l="1"/>
  <c r="C4" i="3"/>
  <c r="C5" i="3"/>
  <c r="C2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2" i="2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2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E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E4" i="3"/>
  <c r="E3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2" i="2"/>
  <c r="E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<sst xmlns="http://schemas.openxmlformats.org/spreadsheetml/2006/main" count="824" uniqueCount="140">
  <si>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</si>
  <si>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</si>
  <si>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</si>
  <si>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</si>
  <si>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</si>
  <si>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</si>
  <si>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</si>
  <si>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</si>
  <si>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</si>
  <si>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</si>
  <si>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</si>
  <si>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</si>
  <si>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</si>
  <si>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</si>
  <si>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</si>
  <si>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</si>
  <si>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</si>
  <si>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</si>
  <si>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</si>
  <si>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</si>
  <si>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</si>
  <si>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</si>
  <si>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</si>
  <si>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</si>
  <si>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</si>
  <si>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</si>
  <si>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</si>
  <si>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</si>
  <si>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</si>
  <si>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</si>
  <si>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</si>
  <si>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</si>
  <si>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</si>
  <si>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</si>
  <si>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</si>
  <si>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</si>
  <si>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</si>
  <si>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</si>
  <si>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</si>
  <si>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</si>
  <si>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</si>
  <si>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</si>
  <si>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</si>
  <si>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</si>
  <si>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</si>
  <si>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</si>
  <si>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</si>
  <si>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</si>
  <si>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</si>
  <si>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</si>
  <si>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</si>
  <si>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</si>
  <si>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</si>
  <si>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</si>
  <si>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</si>
  <si>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</si>
  <si>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</si>
  <si>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</si>
  <si>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</si>
  <si>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</si>
  <si>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</si>
  <si>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</si>
  <si>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</si>
  <si>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</si>
  <si>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</si>
  <si>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</si>
  <si>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</si>
  <si>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</si>
  <si>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</si>
  <si>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</si>
  <si>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</si>
  <si>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</si>
  <si>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</si>
  <si>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</si>
  <si>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</si>
  <si>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</si>
  <si>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</si>
  <si>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</si>
  <si>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</si>
  <si>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</si>
  <si>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</si>
  <si>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</si>
  <si>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</si>
  <si>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</si>
  <si>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</si>
  <si>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</si>
  <si>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</si>
  <si>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</si>
  <si>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</si>
  <si>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</si>
  <si>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</si>
  <si>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</si>
  <si>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</si>
  <si>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</si>
  <si>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</si>
  <si>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</si>
  <si>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</si>
  <si>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</si>
  <si>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</si>
  <si>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</si>
  <si>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</si>
  <si>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</si>
  <si>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</si>
  <si>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</si>
  <si>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</si>
  <si>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</si>
  <si>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</si>
  <si>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</si>
  <si>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</si>
  <si>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</si>
  <si>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</si>
  <si>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</si>
  <si>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</si>
  <si>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</si>
  <si>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</si>
  <si>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</si>
  <si>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</si>
  <si>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</si>
  <si>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</si>
  <si>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</si>
  <si>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</si>
  <si>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</si>
  <si>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</si>
  <si>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</si>
  <si>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</si>
  <si>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</si>
  <si>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</si>
  <si>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</si>
  <si>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</si>
  <si>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</si>
  <si>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</si>
  <si>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</si>
  <si>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</si>
  <si>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</si>
  <si>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</si>
  <si>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</si>
  <si>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</si>
  <si>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Schedule</t>
  </si>
  <si>
    <t>EST Date</t>
  </si>
  <si>
    <t>PH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</si>
</sst>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zoomScaleNormal="100" workbookViewId="0">
      <selection activeCell="O2" sqref="O2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/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5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5" priority="3" operator="equal">
      <formula>"OFF"</formula>
    </cfRule>
  </conditionalFormatting>
  <conditionalFormatting sqref="I57:I58">
    <cfRule type="cellIs" dxfId="4" priority="4" operator="equal">
      <formula>"OFF"</formula>
    </cfRule>
  </conditionalFormatting>
  <conditionalFormatting sqref="O2:O61">
    <cfRule type="cellIs" dxfId="3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P2" sqref="P2:P61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137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>IF(
TIMEVALUE(LEFT(O2,FIND("-",O2)-1))&gt;=12/24,
1,
0
)</f>
        <v>1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>_xlfn.TEXTJOIN(" - ",TRUE,
IF(B3="OFF","Mon",""),
IF(C3="OFF","Tue",""),
IF(D3="OFF","Wed",""),
IF(E3="OFF","Thu",""),
IF(F3="OFF","Fri",""),
IF(G3="OFF","Sat",""),
IF(H3="OFF","Sun",""))</f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ref="P3:P61" si="0">IF(
TIMEVALUE(LEFT(O3,FIND("-",O3)-1))&gt;=12/24,
1,
0
)</f>
        <v>0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>_xlfn.TEXTJOIN(" - ",TRUE,
IF(B4="OFF","Mon",""),
IF(C4="OFF","Tue",""),
IF(D4="OFF","Wed",""),
IF(E4="OFF","Thu",""),
IF(F4="OFF","Fri",""),
IF(G4="OFF","Sat",""),
IF(H4="OFF","Sun",""))</f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0"/>
        <v>1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>_xlfn.TEXTJOIN(" - ",TRUE,
IF(B5="OFF","Mon",""),
IF(C5="OFF","Tue",""),
IF(D5="OFF","Wed",""),
IF(E5="OFF","Thu",""),
IF(F5="OFF","Fri",""),
IF(G5="OFF","Sat",""),
IF(H5="OFF","Sun",""))</f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0"/>
        <v>1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>_xlfn.TEXTJOIN(" - ",TRUE,
IF(B6="OFF","Mon",""),
IF(C6="OFF","Tue",""),
IF(D6="OFF","Wed",""),
IF(E6="OFF","Thu",""),
IF(F6="OFF","Fri",""),
IF(G6="OFF","Sat",""),
IF(H6="OFF","Sun",""))</f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0"/>
        <v>0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>_xlfn.TEXTJOIN(" - ",TRUE,
IF(B7="OFF","Mon",""),
IF(C7="OFF","Tue",""),
IF(D7="OFF","Wed",""),
IF(E7="OFF","Thu",""),
IF(F7="OFF","Fri",""),
IF(G7="OFF","Sat",""),
IF(H7="OFF","Sun",""))</f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0"/>
        <v>1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>_xlfn.TEXTJOIN(" - ",TRUE,
IF(B8="OFF","Mon",""),
IF(C8="OFF","Tue",""),
IF(D8="OFF","Wed",""),
IF(E8="OFF","Thu",""),
IF(F8="OFF","Fri",""),
IF(G8="OFF","Sat",""),
IF(H8="OFF","Sun",""))</f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0"/>
        <v>1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>_xlfn.TEXTJOIN(" - ",TRUE,
IF(B9="OFF","Mon",""),
IF(C9="OFF","Tue",""),
IF(D9="OFF","Wed",""),
IF(E9="OFF","Thu",""),
IF(F9="OFF","Fri",""),
IF(G9="OFF","Sat",""),
IF(H9="OFF","Sun",""))</f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0"/>
        <v>1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>_xlfn.TEXTJOIN(" - ",TRUE,
IF(B10="OFF","Mon",""),
IF(C10="OFF","Tue",""),
IF(D10="OFF","Wed",""),
IF(E10="OFF","Thu",""),
IF(F10="OFF","Fri",""),
IF(G10="OFF","Sat",""),
IF(H10="OFF","Sun",""))</f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0"/>
        <v>1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>_xlfn.TEXTJOIN(" - ",TRUE,
IF(B11="OFF","Mon",""),
IF(C11="OFF","Tue",""),
IF(D11="OFF","Wed",""),
IF(E11="OFF","Thu",""),
IF(F11="OFF","Fri",""),
IF(G11="OFF","Sat",""),
IF(H11="OFF","Sun",""))</f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0"/>
        <v>1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>_xlfn.TEXTJOIN(" - ",TRUE,
IF(B12="OFF","Mon",""),
IF(C12="OFF","Tue",""),
IF(D12="OFF","Wed",""),
IF(E12="OFF","Thu",""),
IF(F12="OFF","Fri",""),
IF(G12="OFF","Sat",""),
IF(H12="OFF","Sun",""))</f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0"/>
        <v>1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>_xlfn.TEXTJOIN(" - ",TRUE,
IF(B13="OFF","Mon",""),
IF(C13="OFF","Tue",""),
IF(D13="OFF","Wed",""),
IF(E13="OFF","Thu",""),
IF(F13="OFF","Fri",""),
IF(G13="OFF","Sat",""),
IF(H13="OFF","Sun",""))</f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0"/>
        <v>1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>_xlfn.TEXTJOIN(" - ",TRUE,
IF(B14="OFF","Mon",""),
IF(C14="OFF","Tue",""),
IF(D14="OFF","Wed",""),
IF(E14="OFF","Thu",""),
IF(F14="OFF","Fri",""),
IF(G14="OFF","Sat",""),
IF(H14="OFF","Sun",""))</f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0"/>
        <v>1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>_xlfn.TEXTJOIN(" - ",TRUE,
IF(B15="OFF","Mon",""),
IF(C15="OFF","Tue",""),
IF(D15="OFF","Wed",""),
IF(E15="OFF","Thu",""),
IF(F15="OFF","Fri",""),
IF(G15="OFF","Sat",""),
IF(H15="OFF","Sun",""))</f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0"/>
        <v>1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>_xlfn.TEXTJOIN(" - ",TRUE,
IF(B16="OFF","Mon",""),
IF(C16="OFF","Tue",""),
IF(D16="OFF","Wed",""),
IF(E16="OFF","Thu",""),
IF(F16="OFF","Fri",""),
IF(G16="OFF","Sat",""),
IF(H16="OFF","Sun",""))</f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0"/>
        <v>1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>_xlfn.TEXTJOIN(" - ",TRUE,
IF(B17="OFF","Mon",""),
IF(C17="OFF","Tue",""),
IF(D17="OFF","Wed",""),
IF(E17="OFF","Thu",""),
IF(F17="OFF","Fri",""),
IF(G17="OFF","Sat",""),
IF(H17="OFF","Sun",""))</f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0"/>
        <v>1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>_xlfn.TEXTJOIN(" - ",TRUE,
IF(B18="OFF","Mon",""),
IF(C18="OFF","Tue",""),
IF(D18="OFF","Wed",""),
IF(E18="OFF","Thu",""),
IF(F18="OFF","Fri",""),
IF(G18="OFF","Sat",""),
IF(H18="OFF","Sun",""))</f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0"/>
        <v>1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>_xlfn.TEXTJOIN(" - ",TRUE,
IF(B19="OFF","Mon",""),
IF(C19="OFF","Tue",""),
IF(D19="OFF","Wed",""),
IF(E19="OFF","Thu",""),
IF(F19="OFF","Fri",""),
IF(G19="OFF","Sat",""),
IF(H19="OFF","Sun",""))</f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0"/>
        <v>1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>_xlfn.TEXTJOIN(" - ",TRUE,
IF(B20="OFF","Mon",""),
IF(C20="OFF","Tue",""),
IF(D20="OFF","Wed",""),
IF(E20="OFF","Thu",""),
IF(F20="OFF","Fri",""),
IF(G20="OFF","Sat",""),
IF(H20="OFF","Sun",""))</f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0"/>
        <v>0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>_xlfn.TEXTJOIN(" - ",TRUE,
IF(B21="OFF","Mon",""),
IF(C21="OFF","Tue",""),
IF(D21="OFF","Wed",""),
IF(E21="OFF","Thu",""),
IF(F21="OFF","Fri",""),
IF(G21="OFF","Sat",""),
IF(H21="OFF","Sun",""))</f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0"/>
        <v>1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>_xlfn.TEXTJOIN(" - ",TRUE,
IF(B22="OFF","Mon",""),
IF(C22="OFF","Tue",""),
IF(D22="OFF","Wed",""),
IF(E22="OFF","Thu",""),
IF(F22="OFF","Fri",""),
IF(G22="OFF","Sat",""),
IF(H22="OFF","Sun",""))</f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0"/>
        <v>1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>_xlfn.TEXTJOIN(" - ",TRUE,
IF(B23="OFF","Mon",""),
IF(C23="OFF","Tue",""),
IF(D23="OFF","Wed",""),
IF(E23="OFF","Thu",""),
IF(F23="OFF","Fri",""),
IF(G23="OFF","Sat",""),
IF(H23="OFF","Sun",""))</f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0"/>
        <v>1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>_xlfn.TEXTJOIN(" - ",TRUE,
IF(B24="OFF","Mon",""),
IF(C24="OFF","Tue",""),
IF(D24="OFF","Wed",""),
IF(E24="OFF","Thu",""),
IF(F24="OFF","Fri",""),
IF(G24="OFF","Sat",""),
IF(H24="OFF","Sun",""))</f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0"/>
        <v>1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>_xlfn.TEXTJOIN(" - ",TRUE,
IF(B25="OFF","Mon",""),
IF(C25="OFF","Tue",""),
IF(D25="OFF","Wed",""),
IF(E25="OFF","Thu",""),
IF(F25="OFF","Fri",""),
IF(G25="OFF","Sat",""),
IF(H25="OFF","Sun",""))</f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0"/>
        <v>1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>_xlfn.TEXTJOIN(" - ",TRUE,
IF(B26="OFF","Mon",""),
IF(C26="OFF","Tue",""),
IF(D26="OFF","Wed",""),
IF(E26="OFF","Thu",""),
IF(F26="OFF","Fri",""),
IF(G26="OFF","Sat",""),
IF(H26="OFF","Sun",""))</f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0"/>
        <v>1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>_xlfn.TEXTJOIN(" - ",TRUE,
IF(B27="OFF","Mon",""),
IF(C27="OFF","Tue",""),
IF(D27="OFF","Wed",""),
IF(E27="OFF","Thu",""),
IF(F27="OFF","Fri",""),
IF(G27="OFF","Sat",""),
IF(H27="OFF","Sun",""))</f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0"/>
        <v>0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>_xlfn.TEXTJOIN(" - ",TRUE,
IF(B28="OFF","Mon",""),
IF(C28="OFF","Tue",""),
IF(D28="OFF","Wed",""),
IF(E28="OFF","Thu",""),
IF(F28="OFF","Fri",""),
IF(G28="OFF","Sat",""),
IF(H28="OFF","Sun",""))</f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0"/>
        <v>1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>_xlfn.TEXTJOIN(" - ",TRUE,
IF(B29="OFF","Mon",""),
IF(C29="OFF","Tue",""),
IF(D29="OFF","Wed",""),
IF(E29="OFF","Thu",""),
IF(F29="OFF","Fri",""),
IF(G29="OFF","Sat",""),
IF(H29="OFF","Sun",""))</f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0"/>
        <v>0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>_xlfn.TEXTJOIN(" - ",TRUE,
IF(B30="OFF","Mon",""),
IF(C30="OFF","Tue",""),
IF(D30="OFF","Wed",""),
IF(E30="OFF","Thu",""),
IF(F30="OFF","Fri",""),
IF(G30="OFF","Sat",""),
IF(H30="OFF","Sun",""))</f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0"/>
        <v>1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>_xlfn.TEXTJOIN(" - ",TRUE,
IF(B31="OFF","Mon",""),
IF(C31="OFF","Tue",""),
IF(D31="OFF","Wed",""),
IF(E31="OFF","Thu",""),
IF(F31="OFF","Fri",""),
IF(G31="OFF","Sat",""),
IF(H31="OFF","Sun",""))</f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0"/>
        <v>0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>_xlfn.TEXTJOIN(" - ",TRUE,
IF(B32="OFF","Mon",""),
IF(C32="OFF","Tue",""),
IF(D32="OFF","Wed",""),
IF(E32="OFF","Thu",""),
IF(F32="OFF","Fri",""),
IF(G32="OFF","Sat",""),
IF(H32="OFF","Sun",""))</f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0"/>
        <v>1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>_xlfn.TEXTJOIN(" - ",TRUE,
IF(B33="OFF","Mon",""),
IF(C33="OFF","Tue",""),
IF(D33="OFF","Wed",""),
IF(E33="OFF","Thu",""),
IF(F33="OFF","Fri",""),
IF(G33="OFF","Sat",""),
IF(H33="OFF","Sun",""))</f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0"/>
        <v>0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 t="shared" si="0"/>
        <v>0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>_xlfn.TEXTJOIN(" - ",TRUE,
IF(B35="OFF","Mon",""),
IF(C35="OFF","Tue",""),
IF(D35="OFF","Wed",""),
IF(E35="OFF","Thu",""),
IF(F35="OFF","Fri",""),
IF(G35="OFF","Sat",""),
IF(H35="OFF","Sun",""))</f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 t="shared" si="0"/>
        <v>1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>_xlfn.TEXTJOIN(" - ",TRUE,
IF(B36="OFF","Mon",""),
IF(C36="OFF","Tue",""),
IF(D36="OFF","Wed",""),
IF(E36="OFF","Thu",""),
IF(F36="OFF","Fri",""),
IF(G36="OFF","Sat",""),
IF(H36="OFF","Sun",""))</f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si="0"/>
        <v>1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>_xlfn.TEXTJOIN(" - ",TRUE,
IF(B37="OFF","Mon",""),
IF(C37="OFF","Tue",""),
IF(D37="OFF","Wed",""),
IF(E37="OFF","Thu",""),
IF(F37="OFF","Fri",""),
IF(G37="OFF","Sat",""),
IF(H37="OFF","Sun",""))</f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0"/>
        <v>1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>_xlfn.TEXTJOIN(" - ",TRUE,
IF(B38="OFF","Mon",""),
IF(C38="OFF","Tue",""),
IF(D38="OFF","Wed",""),
IF(E38="OFF","Thu",""),
IF(F38="OFF","Fri",""),
IF(G38="OFF","Sat",""),
IF(H38="OFF","Sun",""))</f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0"/>
        <v>0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>_xlfn.TEXTJOIN(" - ",TRUE,
IF(B39="OFF","Mon",""),
IF(C39="OFF","Tue",""),
IF(D39="OFF","Wed",""),
IF(E39="OFF","Thu",""),
IF(F39="OFF","Fri",""),
IF(G39="OFF","Sat",""),
IF(H39="OFF","Sun",""))</f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0"/>
        <v>1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>_xlfn.TEXTJOIN(" - ",TRUE,
IF(B40="OFF","Mon",""),
IF(C40="OFF","Tue",""),
IF(D40="OFF","Wed",""),
IF(E40="OFF","Thu",""),
IF(F40="OFF","Fri",""),
IF(G40="OFF","Sat",""),
IF(H40="OFF","Sun",""))</f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0"/>
        <v>0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>_xlfn.TEXTJOIN(" - ",TRUE,
IF(B41="OFF","Mon",""),
IF(C41="OFF","Tue",""),
IF(D41="OFF","Wed",""),
IF(E41="OFF","Thu",""),
IF(F41="OFF","Fri",""),
IF(G41="OFF","Sat",""),
IF(H41="OFF","Sun",""))</f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0"/>
        <v>1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>_xlfn.TEXTJOIN(" - ",TRUE,
IF(B42="OFF","Mon",""),
IF(C42="OFF","Tue",""),
IF(D42="OFF","Wed",""),
IF(E42="OFF","Thu",""),
IF(F42="OFF","Fri",""),
IF(G42="OFF","Sat",""),
IF(H42="OFF","Sun",""))</f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0"/>
        <v>1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>_xlfn.TEXTJOIN(" - ",TRUE,
IF(B43="OFF","Mon",""),
IF(C43="OFF","Tue",""),
IF(D43="OFF","Wed",""),
IF(E43="OFF","Thu",""),
IF(F43="OFF","Fri",""),
IF(G43="OFF","Sat",""),
IF(H43="OFF","Sun",""))</f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0"/>
        <v>1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>_xlfn.TEXTJOIN(" - ",TRUE,
IF(B44="OFF","Mon",""),
IF(C44="OFF","Tue",""),
IF(D44="OFF","Wed",""),
IF(E44="OFF","Thu",""),
IF(F44="OFF","Fri",""),
IF(G44="OFF","Sat",""),
IF(H44="OFF","Sun",""))</f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0"/>
        <v>0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>_xlfn.TEXTJOIN(" - ",TRUE,
IF(B45="OFF","Mon",""),
IF(C45="OFF","Tue",""),
IF(D45="OFF","Wed",""),
IF(E45="OFF","Thu",""),
IF(F45="OFF","Fri",""),
IF(G45="OFF","Sat",""),
IF(H45="OFF","Sun",""))</f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0"/>
        <v>1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>_xlfn.TEXTJOIN(" - ",TRUE,
IF(B46="OFF","Mon",""),
IF(C46="OFF","Tue",""),
IF(D46="OFF","Wed",""),
IF(E46="OFF","Thu",""),
IF(F46="OFF","Fri",""),
IF(G46="OFF","Sat",""),
IF(H46="OFF","Sun",""))</f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0"/>
        <v>1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>_xlfn.TEXTJOIN(" - ",TRUE,
IF(B47="OFF","Mon",""),
IF(C47="OFF","Tue",""),
IF(D47="OFF","Wed",""),
IF(E47="OFF","Thu",""),
IF(F47="OFF","Fri",""),
IF(G47="OFF","Sat",""),
IF(H47="OFF","Sun",""))</f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0"/>
        <v>1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>_xlfn.TEXTJOIN(" - ",TRUE,
IF(B48="OFF","Mon",""),
IF(C48="OFF","Tue",""),
IF(D48="OFF","Wed",""),
IF(E48="OFF","Thu",""),
IF(F48="OFF","Fri",""),
IF(G48="OFF","Sat",""),
IF(H48="OFF","Sun",""))</f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0"/>
        <v>0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>_xlfn.TEXTJOIN(" - ",TRUE,
IF(B49="OFF","Mon",""),
IF(C49="OFF","Tue",""),
IF(D49="OFF","Wed",""),
IF(E49="OFF","Thu",""),
IF(F49="OFF","Fri",""),
IF(G49="OFF","Sat",""),
IF(H49="OFF","Sun",""))</f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0"/>
        <v>0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>_xlfn.TEXTJOIN(" - ",TRUE,
IF(B50="OFF","Mon",""),
IF(C50="OFF","Tue",""),
IF(D50="OFF","Wed",""),
IF(E50="OFF","Thu",""),
IF(F50="OFF","Fri",""),
IF(G50="OFF","Sat",""),
IF(H50="OFF","Sun",""))</f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0"/>
        <v>1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>_xlfn.TEXTJOIN(" - ",TRUE,
IF(B51="OFF","Mon",""),
IF(C51="OFF","Tue",""),
IF(D51="OFF","Wed",""),
IF(E51="OFF","Thu",""),
IF(F51="OFF","Fri",""),
IF(G51="OFF","Sat",""),
IF(H51="OFF","Sun",""))</f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0"/>
        <v>1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>_xlfn.TEXTJOIN(" - ",TRUE,
IF(B52="OFF","Mon",""),
IF(C52="OFF","Tue",""),
IF(D52="OFF","Wed",""),
IF(E52="OFF","Thu",""),
IF(F52="OFF","Fri",""),
IF(G52="OFF","Sat",""),
IF(H52="OFF","Sun",""))</f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0"/>
        <v>1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>_xlfn.TEXTJOIN(" - ",TRUE,
IF(B53="OFF","Mon",""),
IF(C53="OFF","Tue",""),
IF(D53="OFF","Wed",""),
IF(E53="OFF","Thu",""),
IF(F53="OFF","Fri",""),
IF(G53="OFF","Sat",""),
IF(H53="OFF","Sun",""))</f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0"/>
        <v>0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>_xlfn.TEXTJOIN(" - ",TRUE,
IF(B54="OFF","Mon",""),
IF(C54="OFF","Tue",""),
IF(D54="OFF","Wed",""),
IF(E54="OFF","Thu",""),
IF(F54="OFF","Fri",""),
IF(G54="OFF","Sat",""),
IF(H54="OFF","Sun",""))</f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0"/>
        <v>1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>_xlfn.TEXTJOIN(" - ",TRUE,
IF(B55="OFF","Mon",""),
IF(C55="OFF","Tue",""),
IF(D55="OFF","Wed",""),
IF(E55="OFF","Thu",""),
IF(F55="OFF","Fri",""),
IF(G55="OFF","Sat",""),
IF(H55="OFF","Sun",""))</f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0"/>
        <v>0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>_xlfn.TEXTJOIN(" - ",TRUE,
IF(B56="OFF","Mon",""),
IF(C56="OFF","Tue",""),
IF(D56="OFF","Wed",""),
IF(E56="OFF","Thu",""),
IF(F56="OFF","Fri",""),
IF(G56="OFF","Sat",""),
IF(H56="OFF","Sun",""))</f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0"/>
        <v>1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>_xlfn.TEXTJOIN(" - ",TRUE,
IF(B57="OFF","Mon",""),
IF(C57="OFF","Tue",""),
IF(D57="OFF","Wed",""),
IF(E57="OFF","Thu",""),
IF(F57="OFF","Fri",""),
IF(G57="OFF","Sat",""),
IF(H57="OFF","Sun",""))</f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0"/>
        <v>1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>_xlfn.TEXTJOIN(" - ",TRUE,
IF(B58="OFF","Mon",""),
IF(C58="OFF","Tue",""),
IF(D58="OFF","Wed",""),
IF(E58="OFF","Thu",""),
IF(F58="OFF","Fri",""),
IF(G58="OFF","Sat",""),
IF(H58="OFF","Sun",""))</f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0"/>
        <v>1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>_xlfn.TEXTJOIN(" - ",TRUE,
IF(B59="OFF","Mon",""),
IF(C59="OFF","Tue",""),
IF(D59="OFF","Wed",""),
IF(E59="OFF","Thu",""),
IF(F59="OFF","Fri",""),
IF(G59="OFF","Sat",""),
IF(H59="OFF","Sun",""))</f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0"/>
        <v>1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>_xlfn.TEXTJOIN(" - ",TRUE,
IF(B60="OFF","Mon",""),
IF(C60="OFF","Tue",""),
IF(D60="OFF","Wed",""),
IF(E60="OFF","Thu",""),
IF(F60="OFF","Fri",""),
IF(G60="OFF","Sat",""),
IF(H60="OFF","Sun",""))</f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0"/>
        <v>1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>_xlfn.TEXTJOIN(" - ",TRUE,
IF(B61="OFF","Mon",""),
IF(C61="OFF","Tue",""),
IF(D61="OFF","Wed",""),
IF(E61="OFF","Thu",""),
IF(F61="OFF","Fri",""),
IF(G61="OFF","Sat",""),
IF(H61="OFF","Sun",""))</f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0"/>
        <v>1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E29"/>
  <sheetViews>
    <sheetView tabSelected="1" workbookViewId="0">
      <selection activeCell="C2" sqref="C2"/>
    </sheetView>
  </sheetViews>
  <sheetFormatPr defaultRowHeight="14.4" x14ac:dyDescent="0.3"/>
  <cols>
    <col min="1" max="1" width="26.6640625" customWidth="1"/>
    <col min="2" max="3" width="17.6640625" style="29" customWidth="1"/>
    <col min="4" max="4" width="14.5546875" customWidth="1"/>
    <col min="5" max="5" width="23.33203125" customWidth="1"/>
  </cols>
  <sheetData>
    <row r="1" spans="1:5" ht="17.399999999999999" thickBot="1" x14ac:dyDescent="0.35">
      <c r="A1" s="24" t="s">
        <v>0</v>
      </c>
      <c r="B1" s="28" t="s">
        <v>138</v>
      </c>
      <c r="C1" s="28" t="s">
        <v>139</v>
      </c>
      <c r="D1" s="24" t="s">
        <v>121</v>
      </c>
      <c r="E1" s="24" t="s">
        <v>13</v>
      </c>
    </row>
    <row r="2" spans="1:5" x14ac:dyDescent="0.3">
      <c r="A2" s="16" t="s">
        <v>87</v>
      </c>
      <c r="B2" s="29">
        <v>46315</v>
      </c>
      <c r="C2" s="29">
        <f>PTO!B2 +
_xlfn.XLOOKUP(
    PTO!A2,
    PH!$A:$A,
    PH!$P:$P,
    0
)</f>
        <v>46316</v>
      </c>
      <c r="D2" t="s">
        <v>123</v>
      </c>
      <c r="E2" t="str">
        <f>VLOOKUP(A2,EST!A:N,14,FALSE)</f>
        <v>Christopher Rodas</v>
      </c>
    </row>
    <row r="3" spans="1:5" x14ac:dyDescent="0.3">
      <c r="A3" t="s">
        <v>69</v>
      </c>
      <c r="B3" s="29">
        <v>46315</v>
      </c>
      <c r="C3" s="29">
        <f>PTO!B3 +
_xlfn.XLOOKUP(
    PTO!A3,
    PH!$A:$A,
    PH!$P:$P,
    0
)</f>
        <v>46316</v>
      </c>
      <c r="D3" t="s">
        <v>123</v>
      </c>
      <c r="E3" t="str">
        <f>VLOOKUP(A3,EST!A:N,14,FALSE)</f>
        <v>Michael Dominguez</v>
      </c>
    </row>
    <row r="4" spans="1:5" x14ac:dyDescent="0.3">
      <c r="A4" t="s">
        <v>63</v>
      </c>
      <c r="B4" s="29">
        <v>46315</v>
      </c>
      <c r="C4" s="29">
        <f>PTO!B4 +
_xlfn.XLOOKUP(
    PTO!A4,
    PH!$A:$A,
    PH!$P:$P,
    0
)</f>
        <v>46316</v>
      </c>
      <c r="D4" t="s">
        <v>123</v>
      </c>
      <c r="E4" t="str">
        <f>VLOOKUP(A4,EST!A:N,14,FALSE)</f>
        <v>Remmo Panaligan</v>
      </c>
    </row>
    <row r="5" spans="1:5" x14ac:dyDescent="0.3">
      <c r="A5" t="s">
        <v>80</v>
      </c>
      <c r="B5" s="29">
        <v>46316</v>
      </c>
      <c r="C5" s="29">
        <f>PTO!B5 +
_xlfn.XLOOKUP(
    PTO!A5,
    PH!$A:$A,
    PH!$P:$P,
    0
)</f>
        <v>46317</v>
      </c>
      <c r="D5" t="s">
        <v>123</v>
      </c>
      <c r="E5" t="str">
        <f>VLOOKUP(A5,EST!A:N,14,FALSE)</f>
        <v>Michael Dominguez</v>
      </c>
    </row>
    <row r="6" spans="1:5" x14ac:dyDescent="0.3">
      <c r="A6" t="s">
        <v>94</v>
      </c>
      <c r="B6" s="29">
        <v>46317</v>
      </c>
      <c r="C6" s="29">
        <f>PTO!B6 +
_xlfn.XLOOKUP(
    PTO!A6,
    PH!$A:$A,
    PH!$P:$P,
    0
)</f>
        <v>46317</v>
      </c>
      <c r="D6" t="s">
        <v>123</v>
      </c>
      <c r="E6" t="str">
        <f>VLOOKUP(A6,EST!A:N,14,FALSE)</f>
        <v>Manilyn Abellar</v>
      </c>
    </row>
    <row r="7" spans="1:5" x14ac:dyDescent="0.3">
      <c r="A7" t="s">
        <v>72</v>
      </c>
      <c r="B7" s="29">
        <v>46317</v>
      </c>
      <c r="C7" s="29">
        <f>PTO!B7 +
_xlfn.XLOOKUP(
    PTO!A7,
    PH!$A:$A,
    PH!$P:$P,
    0
)</f>
        <v>46318</v>
      </c>
      <c r="D7" t="s">
        <v>123</v>
      </c>
      <c r="E7" t="str">
        <f>VLOOKUP(A7,EST!A:N,14,FALSE)</f>
        <v>Anmecha Valencia</v>
      </c>
    </row>
    <row r="8" spans="1:5" x14ac:dyDescent="0.3">
      <c r="A8" t="s">
        <v>80</v>
      </c>
      <c r="B8" s="29">
        <v>46317</v>
      </c>
      <c r="C8" s="29">
        <f>PTO!B8 +
_xlfn.XLOOKUP(
    PTO!A8,
    PH!$A:$A,
    PH!$P:$P,
    0
)</f>
        <v>46318</v>
      </c>
      <c r="D8" t="s">
        <v>123</v>
      </c>
      <c r="E8" t="str">
        <f>VLOOKUP(A8,EST!A:N,14,FALSE)</f>
        <v>Michael Dominguez</v>
      </c>
    </row>
    <row r="9" spans="1:5" x14ac:dyDescent="0.3">
      <c r="A9" t="s">
        <v>78</v>
      </c>
      <c r="B9" s="29">
        <v>46318</v>
      </c>
      <c r="C9" s="29">
        <f>PTO!B9 +
_xlfn.XLOOKUP(
    PTO!A9,
    PH!$A:$A,
    PH!$P:$P,
    0
)</f>
        <v>46319</v>
      </c>
      <c r="D9" t="s">
        <v>123</v>
      </c>
      <c r="E9" t="str">
        <f>VLOOKUP(A9,EST!A:N,14,FALSE)</f>
        <v>Anmecha Valencia</v>
      </c>
    </row>
    <row r="10" spans="1:5" x14ac:dyDescent="0.3">
      <c r="A10" t="s">
        <v>73</v>
      </c>
      <c r="B10" s="29">
        <v>46318</v>
      </c>
      <c r="C10" s="29">
        <f>PTO!B10 +
_xlfn.XLOOKUP(
    PTO!A10,
    PH!$A:$A,
    PH!$P:$P,
    0
)</f>
        <v>46319</v>
      </c>
      <c r="D10" t="s">
        <v>123</v>
      </c>
      <c r="E10" t="str">
        <f>VLOOKUP(A10,EST!A:N,14,FALSE)</f>
        <v>Michael Dominguez</v>
      </c>
    </row>
    <row r="11" spans="1:5" x14ac:dyDescent="0.3">
      <c r="A11" t="s">
        <v>115</v>
      </c>
      <c r="B11" s="29">
        <v>46318</v>
      </c>
      <c r="C11" s="29">
        <f>PTO!B11 +
_xlfn.XLOOKUP(
    PTO!A11,
    PH!$A:$A,
    PH!$P:$P,
    0
)</f>
        <v>46318</v>
      </c>
      <c r="D11" t="s">
        <v>123</v>
      </c>
      <c r="E11" t="str">
        <f>VLOOKUP(A11,EST!A:N,14,FALSE)</f>
        <v>Anmecha Valencia</v>
      </c>
    </row>
    <row r="12" spans="1:5" x14ac:dyDescent="0.3">
      <c r="A12" t="s">
        <v>107</v>
      </c>
      <c r="B12" s="29">
        <v>46320</v>
      </c>
      <c r="C12" s="29">
        <f>PTO!B12 +
_xlfn.XLOOKUP(
    PTO!A12,
    PH!$A:$A,
    PH!$P:$P,
    0
)</f>
        <v>46321</v>
      </c>
      <c r="D12" t="s">
        <v>123</v>
      </c>
      <c r="E12" t="str">
        <f>VLOOKUP(A12,EST!A:N,14,FALSE)</f>
        <v>Remmo Panaligan</v>
      </c>
    </row>
    <row r="13" spans="1:5" x14ac:dyDescent="0.3">
      <c r="A13" t="s">
        <v>117</v>
      </c>
      <c r="B13" s="29">
        <v>46321</v>
      </c>
      <c r="C13" s="29">
        <f>PTO!B13 +
_xlfn.XLOOKUP(
    PTO!A13,
    PH!$A:$A,
    PH!$P:$P,
    0
)</f>
        <v>46322</v>
      </c>
      <c r="D13" t="s">
        <v>123</v>
      </c>
      <c r="E13" t="str">
        <f>VLOOKUP(A13,EST!A:N,14,FALSE)</f>
        <v>Michael Dominguez</v>
      </c>
    </row>
    <row r="14" spans="1:5" x14ac:dyDescent="0.3">
      <c r="A14" t="s">
        <v>92</v>
      </c>
      <c r="B14" s="29">
        <v>46321</v>
      </c>
      <c r="C14" s="29">
        <f>PTO!B14 +
_xlfn.XLOOKUP(
    PTO!A14,
    PH!$A:$A,
    PH!$P:$P,
    0
)</f>
        <v>46322</v>
      </c>
      <c r="D14" t="s">
        <v>123</v>
      </c>
      <c r="E14" t="str">
        <f>VLOOKUP(A14,EST!A:N,14,FALSE)</f>
        <v>Remmo Panaligan</v>
      </c>
    </row>
    <row r="15" spans="1:5" x14ac:dyDescent="0.3">
      <c r="A15" t="s">
        <v>86</v>
      </c>
      <c r="B15" s="29">
        <v>46321</v>
      </c>
      <c r="C15" s="29">
        <f>PTO!B15 +
_xlfn.XLOOKUP(
    PTO!A15,
    PH!$A:$A,
    PH!$P:$P,
    0
)</f>
        <v>46322</v>
      </c>
      <c r="D15" t="s">
        <v>123</v>
      </c>
      <c r="E15" t="str">
        <f>VLOOKUP(A15,EST!A:N,14,FALSE)</f>
        <v>Remmo Panaligan</v>
      </c>
    </row>
    <row r="16" spans="1:5" x14ac:dyDescent="0.3">
      <c r="A16" t="s">
        <v>78</v>
      </c>
      <c r="B16" s="29">
        <v>46321</v>
      </c>
      <c r="C16" s="29">
        <f>PTO!B16 +
_xlfn.XLOOKUP(
    PTO!A16,
    PH!$A:$A,
    PH!$P:$P,
    0
)</f>
        <v>46322</v>
      </c>
      <c r="D16" t="s">
        <v>123</v>
      </c>
      <c r="E16" t="str">
        <f>VLOOKUP(A16,EST!A:N,14,FALSE)</f>
        <v>Anmecha Valencia</v>
      </c>
    </row>
    <row r="17" spans="1:5" x14ac:dyDescent="0.3">
      <c r="A17" t="s">
        <v>117</v>
      </c>
      <c r="B17" s="29">
        <v>46322</v>
      </c>
      <c r="C17" s="29">
        <f>PTO!B17 +
_xlfn.XLOOKUP(
    PTO!A17,
    PH!$A:$A,
    PH!$P:$P,
    0
)</f>
        <v>46323</v>
      </c>
      <c r="D17" t="s">
        <v>123</v>
      </c>
      <c r="E17" t="str">
        <f>VLOOKUP(A17,EST!A:N,14,FALSE)</f>
        <v>Michael Dominguez</v>
      </c>
    </row>
    <row r="18" spans="1:5" x14ac:dyDescent="0.3">
      <c r="A18" t="s">
        <v>92</v>
      </c>
      <c r="B18" s="29">
        <v>46322</v>
      </c>
      <c r="C18" s="29">
        <f>PTO!B18 +
_xlfn.XLOOKUP(
    PTO!A18,
    PH!$A:$A,
    PH!$P:$P,
    0
)</f>
        <v>46323</v>
      </c>
      <c r="D18" t="s">
        <v>123</v>
      </c>
      <c r="E18" t="str">
        <f>VLOOKUP(A18,EST!A:N,14,FALSE)</f>
        <v>Remmo Panaligan</v>
      </c>
    </row>
    <row r="19" spans="1:5" x14ac:dyDescent="0.3">
      <c r="A19" t="s">
        <v>86</v>
      </c>
      <c r="B19" s="29">
        <v>46322</v>
      </c>
      <c r="C19" s="29">
        <f>PTO!B19 +
_xlfn.XLOOKUP(
    PTO!A19,
    PH!$A:$A,
    PH!$P:$P,
    0
)</f>
        <v>46323</v>
      </c>
      <c r="D19" t="s">
        <v>123</v>
      </c>
      <c r="E19" t="str">
        <f>VLOOKUP(A19,EST!A:N,14,FALSE)</f>
        <v>Remmo Panaligan</v>
      </c>
    </row>
    <row r="20" spans="1:5" x14ac:dyDescent="0.3">
      <c r="A20" t="s">
        <v>78</v>
      </c>
      <c r="B20" s="29">
        <v>46322</v>
      </c>
      <c r="C20" s="29">
        <f>PTO!B20 +
_xlfn.XLOOKUP(
    PTO!A20,
    PH!$A:$A,
    PH!$P:$P,
    0
)</f>
        <v>46323</v>
      </c>
      <c r="D20" t="s">
        <v>123</v>
      </c>
      <c r="E20" t="str">
        <f>VLOOKUP(A20,EST!A:N,14,FALSE)</f>
        <v>Anmecha Valencia</v>
      </c>
    </row>
    <row r="21" spans="1:5" x14ac:dyDescent="0.3">
      <c r="A21" t="s">
        <v>83</v>
      </c>
      <c r="B21" s="29">
        <v>46322</v>
      </c>
      <c r="C21" s="29">
        <f>PTO!B21 +
_xlfn.XLOOKUP(
    PTO!A21,
    PH!$A:$A,
    PH!$P:$P,
    0
)</f>
        <v>46323</v>
      </c>
      <c r="D21" t="s">
        <v>123</v>
      </c>
      <c r="E21" t="str">
        <f>VLOOKUP(A21,EST!A:N,14,FALSE)</f>
        <v>Christopher Rodas</v>
      </c>
    </row>
    <row r="22" spans="1:5" x14ac:dyDescent="0.3">
      <c r="A22" t="s">
        <v>83</v>
      </c>
      <c r="B22" s="29">
        <v>46323</v>
      </c>
      <c r="C22" s="29">
        <f>PTO!B22 +
_xlfn.XLOOKUP(
    PTO!A22,
    PH!$A:$A,
    PH!$P:$P,
    0
)</f>
        <v>46324</v>
      </c>
      <c r="D22" t="s">
        <v>123</v>
      </c>
      <c r="E22" t="str">
        <f>VLOOKUP(A22,EST!A:N,14,FALSE)</f>
        <v>Christopher Rodas</v>
      </c>
    </row>
    <row r="23" spans="1:5" x14ac:dyDescent="0.3">
      <c r="A23" t="s">
        <v>66</v>
      </c>
      <c r="B23" s="29">
        <v>46323</v>
      </c>
      <c r="C23" s="29">
        <f>PTO!B23 +
_xlfn.XLOOKUP(
    PTO!A23,
    PH!$A:$A,
    PH!$P:$P,
    0
)</f>
        <v>46324</v>
      </c>
      <c r="D23" t="s">
        <v>123</v>
      </c>
      <c r="E23" t="str">
        <f>VLOOKUP(A23,EST!A:N,14,FALSE)</f>
        <v>Manilyn Abellar</v>
      </c>
    </row>
    <row r="24" spans="1:5" x14ac:dyDescent="0.3">
      <c r="A24" t="s">
        <v>101</v>
      </c>
      <c r="B24" s="29">
        <v>46324</v>
      </c>
      <c r="C24" s="29">
        <f>PTO!B24 +
_xlfn.XLOOKUP(
    PTO!A24,
    PH!$A:$A,
    PH!$P:$P,
    0
)</f>
        <v>46325</v>
      </c>
      <c r="D24" t="s">
        <v>123</v>
      </c>
      <c r="E24" t="str">
        <f>VLOOKUP(A24,EST!A:N,14,FALSE)</f>
        <v>Remmo Panaligan</v>
      </c>
    </row>
    <row r="25" spans="1:5" x14ac:dyDescent="0.3">
      <c r="A25" t="s">
        <v>124</v>
      </c>
      <c r="B25" s="29">
        <v>46324</v>
      </c>
      <c r="C25" s="29">
        <f>PTO!B25 +
_xlfn.XLOOKUP(
    PTO!A25,
    PH!$A:$A,
    PH!$P:$P,
    0
)</f>
        <v>46325</v>
      </c>
      <c r="D25" t="s">
        <v>123</v>
      </c>
      <c r="E25" t="str">
        <f>VLOOKUP(A25,EST!A:N,14,FALSE)</f>
        <v>Christopher Rodas</v>
      </c>
    </row>
    <row r="26" spans="1:5" x14ac:dyDescent="0.3">
      <c r="A26" t="s">
        <v>78</v>
      </c>
      <c r="B26" s="29">
        <v>46324</v>
      </c>
      <c r="C26" s="29">
        <f>PTO!B26 +
_xlfn.XLOOKUP(
    PTO!A26,
    PH!$A:$A,
    PH!$P:$P,
    0
)</f>
        <v>46325</v>
      </c>
      <c r="D26" t="s">
        <v>123</v>
      </c>
      <c r="E26" t="str">
        <f>VLOOKUP(A26,EST!A:N,14,FALSE)</f>
        <v>Anmecha Valencia</v>
      </c>
    </row>
    <row r="27" spans="1:5" x14ac:dyDescent="0.3">
      <c r="A27" t="s">
        <v>94</v>
      </c>
      <c r="B27" s="29">
        <v>46324</v>
      </c>
      <c r="C27" s="29">
        <f>PTO!B27 +
_xlfn.XLOOKUP(
    PTO!A27,
    PH!$A:$A,
    PH!$P:$P,
    0
)</f>
        <v>46324</v>
      </c>
      <c r="D27" t="s">
        <v>123</v>
      </c>
      <c r="E27" t="str">
        <f>VLOOKUP(A27,EST!A:N,14,FALSE)</f>
        <v>Manilyn Abellar</v>
      </c>
    </row>
    <row r="28" spans="1:5" x14ac:dyDescent="0.3">
      <c r="A28" t="s">
        <v>88</v>
      </c>
      <c r="B28" s="29">
        <v>46325</v>
      </c>
      <c r="C28" s="29">
        <f>PTO!B28 +
_xlfn.XLOOKUP(
    PTO!A28,
    PH!$A:$A,
    PH!$P:$P,
    0
)</f>
        <v>46325</v>
      </c>
      <c r="D28" t="s">
        <v>123</v>
      </c>
      <c r="E28" t="str">
        <f>VLOOKUP(A28,EST!A:N,14,FALSE)</f>
        <v>Manilyn Abellar</v>
      </c>
    </row>
    <row r="29" spans="1:5" x14ac:dyDescent="0.3">
      <c r="A29" t="s">
        <v>81</v>
      </c>
      <c r="B29" s="29">
        <v>46326</v>
      </c>
      <c r="C29" s="29">
        <f>PTO!B29 +
_xlfn.XLOOKUP(
    PTO!A29,
    PH!$A:$A,
    PH!$P:$P,
    0
)</f>
        <v>46326</v>
      </c>
      <c r="D29" t="s">
        <v>123</v>
      </c>
      <c r="E29" t="str">
        <f>VLOOKUP(A29,EST!A:N,14,FALSE)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E5"/>
  <sheetViews>
    <sheetView workbookViewId="0">
      <selection activeCell="C2" sqref="C2"/>
    </sheetView>
  </sheetViews>
  <sheetFormatPr defaultRowHeight="14.4" x14ac:dyDescent="0.3"/>
  <cols>
    <col min="1" max="1" width="27.109375" style="27" customWidth="1"/>
    <col min="2" max="3" width="17.6640625" style="29" customWidth="1"/>
    <col min="4" max="4" width="22.33203125" style="27" customWidth="1"/>
    <col min="5" max="5" width="18.6640625" customWidth="1"/>
  </cols>
  <sheetData>
    <row r="1" spans="1:5" ht="17.399999999999999" thickBot="1" x14ac:dyDescent="0.35">
      <c r="A1" s="25" t="s">
        <v>0</v>
      </c>
      <c r="B1" s="28" t="s">
        <v>138</v>
      </c>
      <c r="C1" s="28" t="s">
        <v>139</v>
      </c>
      <c r="D1" s="25" t="s">
        <v>121</v>
      </c>
      <c r="E1" s="25" t="s">
        <v>13</v>
      </c>
    </row>
    <row r="2" spans="1:5" x14ac:dyDescent="0.3">
      <c r="A2" s="26" t="s">
        <v>76</v>
      </c>
      <c r="B2" s="29">
        <v>46315</v>
      </c>
      <c r="C2" s="29">
        <f>PTO!B2 +
_xlfn.XLOOKUP(
    PTO!A2,
    PH!$A:$A,
    PH!$P:$P,
    0
)</f>
        <v>46316</v>
      </c>
      <c r="D2" s="27" t="s">
        <v>122</v>
      </c>
      <c r="E2" t="str">
        <f>VLOOKUP(A2,EST!A:N,14,FALSE)</f>
        <v>Anmecha Valencia</v>
      </c>
    </row>
    <row r="3" spans="1:5" x14ac:dyDescent="0.3">
      <c r="A3" s="27" t="s">
        <v>84</v>
      </c>
      <c r="B3" s="29">
        <v>46316</v>
      </c>
      <c r="C3" s="29">
        <f>PTO!B3 +
_xlfn.XLOOKUP(
    PTO!A3,
    PH!$A:$A,
    PH!$P:$P,
    0
)</f>
        <v>46316</v>
      </c>
      <c r="D3" s="27" t="s">
        <v>125</v>
      </c>
      <c r="E3" t="str">
        <f>VLOOKUP(A3,EST!A:N,14,FALSE)</f>
        <v>Michael Dominguez</v>
      </c>
    </row>
    <row r="4" spans="1:5" x14ac:dyDescent="0.3">
      <c r="A4" s="11" t="s">
        <v>76</v>
      </c>
      <c r="B4" s="29">
        <v>46316</v>
      </c>
      <c r="C4" s="29">
        <f>PTO!B4 +
_xlfn.XLOOKUP(
    PTO!A4,
    PH!$A:$A,
    PH!$P:$P,
    0
)</f>
        <v>46316</v>
      </c>
      <c r="D4" s="27" t="s">
        <v>126</v>
      </c>
      <c r="E4" t="str">
        <f>VLOOKUP(A4,EST!A:N,14,FALSE)</f>
        <v>Anmecha Valencia</v>
      </c>
    </row>
    <row r="5" spans="1:5" x14ac:dyDescent="0.3">
      <c r="A5" s="27" t="s">
        <v>98</v>
      </c>
      <c r="B5" s="29">
        <v>46316</v>
      </c>
      <c r="C5" s="29">
        <f>PTO!B5 +
_xlfn.XLOOKUP(
    PTO!A5,
    PH!$A:$A,
    PH!$P:$P,
    0
)</f>
        <v>46317</v>
      </c>
      <c r="D5" s="27" t="s">
        <v>127</v>
      </c>
      <c r="E5" t="str">
        <f>VLOOKUP(A5,EST!A:N,14,FALSE)</f>
        <v>Christopher Rodas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2026-10-23T03:12:13Z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