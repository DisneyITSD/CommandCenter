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386" documentId="8_{3D986408-3F70-4028-ABB2-0B6A1225D05C}" xr6:coauthVersionLast="47" xr6:coauthVersionMax="47" xr10:uidLastSave="{9818AF65-F5C5-4FB5-B4F7-EA4D50A3132C}"/>
  <bookViews>
    <workbookView xWindow="-120" yWindow="-120" windowWidth="23280" windowHeight="13920" activeTab="3" xr2:uid="{75395B83-6453-4C33-8933-D8D7F8DF6F8F}"/>
  </bookViews>
  <sheets>
    <sheet name="EST" sheetId="1" r:id="rId1"/>
    <sheet name="PH" sheetId="4" r:id="rId2"/>
    <sheet name="PTO" sheetId="2" r:id="rId3"/>
    <sheet name="Called OFF" sheetId="3" r:id="rId4"/>
  </sheets>
  <definedNames>
    <definedName name="_xlnm._FilterDatabase" localSheetId="0" hidden="1">EST!$A$1:$N$61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" i="3" l="1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B18" i="4"/>
  <c r="C18" i="4"/>
  <c r="D18" i="4"/>
  <c r="E18" i="4"/>
  <c r="F18" i="4"/>
  <c r="I18" i="4" s="1"/>
  <c r="G18" i="4"/>
  <c r="H18" i="4"/>
  <c r="B19" i="4"/>
  <c r="I19" i="4" s="1"/>
  <c r="C19" i="4"/>
  <c r="D19" i="4"/>
  <c r="E19" i="4"/>
  <c r="F19" i="4"/>
  <c r="G19" i="4"/>
  <c r="H19" i="4"/>
  <c r="B20" i="4"/>
  <c r="C20" i="4"/>
  <c r="D20" i="4"/>
  <c r="E20" i="4"/>
  <c r="F20" i="4"/>
  <c r="G20" i="4"/>
  <c r="H20" i="4"/>
  <c r="I20" i="4"/>
  <c r="B21" i="4"/>
  <c r="I21" i="4" s="1"/>
  <c r="C21" i="4"/>
  <c r="D21" i="4"/>
  <c r="E21" i="4"/>
  <c r="F21" i="4"/>
  <c r="G21" i="4"/>
  <c r="H21" i="4"/>
  <c r="B22" i="4"/>
  <c r="I22" i="4" s="1"/>
  <c r="C22" i="4"/>
  <c r="D22" i="4"/>
  <c r="E22" i="4"/>
  <c r="F22" i="4"/>
  <c r="G22" i="4"/>
  <c r="H22" i="4"/>
  <c r="B23" i="4"/>
  <c r="I23" i="4" s="1"/>
  <c r="C23" i="4"/>
  <c r="D23" i="4"/>
  <c r="E23" i="4"/>
  <c r="F23" i="4"/>
  <c r="G23" i="4"/>
  <c r="H23" i="4"/>
  <c r="B24" i="4"/>
  <c r="C24" i="4"/>
  <c r="D24" i="4"/>
  <c r="E24" i="4"/>
  <c r="F24" i="4"/>
  <c r="G24" i="4"/>
  <c r="H24" i="4"/>
  <c r="I24" i="4"/>
  <c r="B25" i="4"/>
  <c r="C25" i="4"/>
  <c r="D25" i="4"/>
  <c r="E25" i="4"/>
  <c r="F25" i="4"/>
  <c r="I25" i="4" s="1"/>
  <c r="G25" i="4"/>
  <c r="H25" i="4"/>
  <c r="B26" i="4"/>
  <c r="I26" i="4" s="1"/>
  <c r="C26" i="4"/>
  <c r="D26" i="4"/>
  <c r="E26" i="4"/>
  <c r="F26" i="4"/>
  <c r="G26" i="4"/>
  <c r="H26" i="4"/>
  <c r="B27" i="4"/>
  <c r="C27" i="4"/>
  <c r="D27" i="4"/>
  <c r="E27" i="4"/>
  <c r="F27" i="4"/>
  <c r="G27" i="4"/>
  <c r="H27" i="4"/>
  <c r="I27" i="4"/>
  <c r="B28" i="4"/>
  <c r="I28" i="4" s="1"/>
  <c r="C28" i="4"/>
  <c r="D28" i="4"/>
  <c r="E28" i="4"/>
  <c r="F28" i="4"/>
  <c r="G28" i="4"/>
  <c r="H28" i="4"/>
  <c r="B29" i="4"/>
  <c r="I29" i="4" s="1"/>
  <c r="C29" i="4"/>
  <c r="D29" i="4"/>
  <c r="E29" i="4"/>
  <c r="F29" i="4"/>
  <c r="G29" i="4"/>
  <c r="H29" i="4"/>
  <c r="B30" i="4"/>
  <c r="I30" i="4" s="1"/>
  <c r="C30" i="4"/>
  <c r="D30" i="4"/>
  <c r="E30" i="4"/>
  <c r="F30" i="4"/>
  <c r="G30" i="4"/>
  <c r="H30" i="4"/>
  <c r="B31" i="4"/>
  <c r="C31" i="4"/>
  <c r="D31" i="4"/>
  <c r="E31" i="4"/>
  <c r="F31" i="4"/>
  <c r="G31" i="4"/>
  <c r="H31" i="4"/>
  <c r="I31" i="4"/>
  <c r="B32" i="4"/>
  <c r="C32" i="4"/>
  <c r="D32" i="4"/>
  <c r="E32" i="4"/>
  <c r="F32" i="4"/>
  <c r="I32" i="4" s="1"/>
  <c r="G32" i="4"/>
  <c r="H32" i="4"/>
  <c r="B33" i="4"/>
  <c r="I33" i="4" s="1"/>
  <c r="C33" i="4"/>
  <c r="D33" i="4"/>
  <c r="E33" i="4"/>
  <c r="F33" i="4"/>
  <c r="G33" i="4"/>
  <c r="H33" i="4"/>
  <c r="B34" i="4"/>
  <c r="C34" i="4"/>
  <c r="D34" i="4"/>
  <c r="E34" i="4"/>
  <c r="F34" i="4"/>
  <c r="G34" i="4"/>
  <c r="H34" i="4"/>
  <c r="I34" i="4"/>
  <c r="B35" i="4"/>
  <c r="I35" i="4" s="1"/>
  <c r="C35" i="4"/>
  <c r="D35" i="4"/>
  <c r="E35" i="4"/>
  <c r="F35" i="4"/>
  <c r="G35" i="4"/>
  <c r="H35" i="4"/>
  <c r="B36" i="4"/>
  <c r="I36" i="4" s="1"/>
  <c r="C36" i="4"/>
  <c r="D36" i="4"/>
  <c r="E36" i="4"/>
  <c r="F36" i="4"/>
  <c r="G36" i="4"/>
  <c r="H36" i="4"/>
  <c r="B37" i="4"/>
  <c r="I37" i="4" s="1"/>
  <c r="C37" i="4"/>
  <c r="D37" i="4"/>
  <c r="E37" i="4"/>
  <c r="F37" i="4"/>
  <c r="G37" i="4"/>
  <c r="H37" i="4"/>
  <c r="B38" i="4"/>
  <c r="C38" i="4"/>
  <c r="D38" i="4"/>
  <c r="E38" i="4"/>
  <c r="F38" i="4"/>
  <c r="G38" i="4"/>
  <c r="H38" i="4"/>
  <c r="I38" i="4"/>
  <c r="B39" i="4"/>
  <c r="C39" i="4"/>
  <c r="D39" i="4"/>
  <c r="E39" i="4"/>
  <c r="F39" i="4"/>
  <c r="I39" i="4" s="1"/>
  <c r="G39" i="4"/>
  <c r="H39" i="4"/>
  <c r="B40" i="4"/>
  <c r="I40" i="4" s="1"/>
  <c r="C40" i="4"/>
  <c r="D40" i="4"/>
  <c r="E40" i="4"/>
  <c r="F40" i="4"/>
  <c r="G40" i="4"/>
  <c r="H40" i="4"/>
  <c r="B41" i="4"/>
  <c r="C41" i="4"/>
  <c r="D41" i="4"/>
  <c r="E41" i="4"/>
  <c r="F41" i="4"/>
  <c r="G41" i="4"/>
  <c r="H41" i="4"/>
  <c r="I41" i="4"/>
  <c r="B42" i="4"/>
  <c r="I42" i="4" s="1"/>
  <c r="C42" i="4"/>
  <c r="D42" i="4"/>
  <c r="E42" i="4"/>
  <c r="F42" i="4"/>
  <c r="G42" i="4"/>
  <c r="H42" i="4"/>
  <c r="B43" i="4"/>
  <c r="I43" i="4" s="1"/>
  <c r="C43" i="4"/>
  <c r="D43" i="4"/>
  <c r="E43" i="4"/>
  <c r="F43" i="4"/>
  <c r="G43" i="4"/>
  <c r="H43" i="4"/>
  <c r="B44" i="4"/>
  <c r="I44" i="4" s="1"/>
  <c r="C44" i="4"/>
  <c r="D44" i="4"/>
  <c r="E44" i="4"/>
  <c r="F44" i="4"/>
  <c r="G44" i="4"/>
  <c r="H44" i="4"/>
  <c r="B45" i="4"/>
  <c r="C45" i="4"/>
  <c r="D45" i="4"/>
  <c r="E45" i="4"/>
  <c r="F45" i="4"/>
  <c r="G45" i="4"/>
  <c r="H45" i="4"/>
  <c r="I45" i="4"/>
  <c r="B46" i="4"/>
  <c r="C46" i="4"/>
  <c r="D46" i="4"/>
  <c r="E46" i="4"/>
  <c r="F46" i="4"/>
  <c r="I46" i="4" s="1"/>
  <c r="G46" i="4"/>
  <c r="H46" i="4"/>
  <c r="B47" i="4"/>
  <c r="I47" i="4" s="1"/>
  <c r="C47" i="4"/>
  <c r="D47" i="4"/>
  <c r="E47" i="4"/>
  <c r="F47" i="4"/>
  <c r="G47" i="4"/>
  <c r="H47" i="4"/>
  <c r="B48" i="4"/>
  <c r="C48" i="4"/>
  <c r="D48" i="4"/>
  <c r="E48" i="4"/>
  <c r="F48" i="4"/>
  <c r="G48" i="4"/>
  <c r="H48" i="4"/>
  <c r="I48" i="4"/>
  <c r="B49" i="4"/>
  <c r="I49" i="4" s="1"/>
  <c r="C49" i="4"/>
  <c r="D49" i="4"/>
  <c r="E49" i="4"/>
  <c r="F49" i="4"/>
  <c r="G49" i="4"/>
  <c r="H49" i="4"/>
  <c r="B50" i="4"/>
  <c r="I50" i="4" s="1"/>
  <c r="C50" i="4"/>
  <c r="D50" i="4"/>
  <c r="E50" i="4"/>
  <c r="F50" i="4"/>
  <c r="G50" i="4"/>
  <c r="H50" i="4"/>
  <c r="B51" i="4"/>
  <c r="I51" i="4" s="1"/>
  <c r="C51" i="4"/>
  <c r="D51" i="4"/>
  <c r="E51" i="4"/>
  <c r="F51" i="4"/>
  <c r="G51" i="4"/>
  <c r="H51" i="4"/>
  <c r="B52" i="4"/>
  <c r="C52" i="4"/>
  <c r="D52" i="4"/>
  <c r="E52" i="4"/>
  <c r="F52" i="4"/>
  <c r="G52" i="4"/>
  <c r="H52" i="4"/>
  <c r="I52" i="4"/>
  <c r="B53" i="4"/>
  <c r="C53" i="4"/>
  <c r="D53" i="4"/>
  <c r="E53" i="4"/>
  <c r="F53" i="4"/>
  <c r="I53" i="4" s="1"/>
  <c r="G53" i="4"/>
  <c r="H53" i="4"/>
  <c r="B54" i="4"/>
  <c r="I54" i="4" s="1"/>
  <c r="C54" i="4"/>
  <c r="D54" i="4"/>
  <c r="E54" i="4"/>
  <c r="F54" i="4"/>
  <c r="G54" i="4"/>
  <c r="H54" i="4"/>
  <c r="B55" i="4"/>
  <c r="C55" i="4"/>
  <c r="D55" i="4"/>
  <c r="E55" i="4"/>
  <c r="F55" i="4"/>
  <c r="G55" i="4"/>
  <c r="H55" i="4"/>
  <c r="I55" i="4"/>
  <c r="B56" i="4"/>
  <c r="I56" i="4" s="1"/>
  <c r="C56" i="4"/>
  <c r="D56" i="4"/>
  <c r="E56" i="4"/>
  <c r="F56" i="4"/>
  <c r="G56" i="4"/>
  <c r="H56" i="4"/>
  <c r="B57" i="4"/>
  <c r="I57" i="4" s="1"/>
  <c r="C57" i="4"/>
  <c r="D57" i="4"/>
  <c r="E57" i="4"/>
  <c r="F57" i="4"/>
  <c r="G57" i="4"/>
  <c r="H57" i="4"/>
  <c r="B58" i="4"/>
  <c r="I58" i="4" s="1"/>
  <c r="C58" i="4"/>
  <c r="D58" i="4"/>
  <c r="E58" i="4"/>
  <c r="F58" i="4"/>
  <c r="G58" i="4"/>
  <c r="H58" i="4"/>
  <c r="B59" i="4"/>
  <c r="C59" i="4"/>
  <c r="D59" i="4"/>
  <c r="E59" i="4"/>
  <c r="F59" i="4"/>
  <c r="G59" i="4"/>
  <c r="H59" i="4"/>
  <c r="I59" i="4"/>
  <c r="B3" i="4"/>
  <c r="C3" i="4"/>
  <c r="D3" i="4"/>
  <c r="E3" i="4"/>
  <c r="F3" i="4"/>
  <c r="G3" i="4"/>
  <c r="H3" i="4"/>
  <c r="I3" i="4"/>
  <c r="B4" i="4"/>
  <c r="I4" i="4" s="1"/>
  <c r="C4" i="4"/>
  <c r="D4" i="4"/>
  <c r="E4" i="4"/>
  <c r="F4" i="4"/>
  <c r="G4" i="4"/>
  <c r="H4" i="4"/>
  <c r="B5" i="4"/>
  <c r="C5" i="4"/>
  <c r="D5" i="4"/>
  <c r="E5" i="4"/>
  <c r="F5" i="4"/>
  <c r="G5" i="4"/>
  <c r="H5" i="4"/>
  <c r="I5" i="4"/>
  <c r="B6" i="4"/>
  <c r="I6" i="4" s="1"/>
  <c r="C6" i="4"/>
  <c r="D6" i="4"/>
  <c r="E6" i="4"/>
  <c r="F6" i="4"/>
  <c r="G6" i="4"/>
  <c r="H6" i="4"/>
  <c r="B7" i="4"/>
  <c r="C7" i="4"/>
  <c r="D7" i="4"/>
  <c r="E7" i="4"/>
  <c r="F7" i="4"/>
  <c r="G7" i="4"/>
  <c r="H7" i="4"/>
  <c r="I7" i="4"/>
  <c r="B8" i="4"/>
  <c r="I8" i="4" s="1"/>
  <c r="C8" i="4"/>
  <c r="D8" i="4"/>
  <c r="E8" i="4"/>
  <c r="F8" i="4"/>
  <c r="G8" i="4"/>
  <c r="H8" i="4"/>
  <c r="B9" i="4"/>
  <c r="C9" i="4"/>
  <c r="D9" i="4"/>
  <c r="E9" i="4"/>
  <c r="F9" i="4"/>
  <c r="G9" i="4"/>
  <c r="H9" i="4"/>
  <c r="I9" i="4" s="1"/>
  <c r="B10" i="4"/>
  <c r="C10" i="4"/>
  <c r="D10" i="4"/>
  <c r="E10" i="4"/>
  <c r="F10" i="4"/>
  <c r="G10" i="4"/>
  <c r="H10" i="4"/>
  <c r="I10" i="4"/>
  <c r="B11" i="4"/>
  <c r="I11" i="4" s="1"/>
  <c r="C11" i="4"/>
  <c r="D11" i="4"/>
  <c r="E11" i="4"/>
  <c r="F11" i="4"/>
  <c r="G11" i="4"/>
  <c r="H11" i="4"/>
  <c r="B12" i="4"/>
  <c r="C12" i="4"/>
  <c r="D12" i="4"/>
  <c r="E12" i="4"/>
  <c r="F12" i="4"/>
  <c r="G12" i="4"/>
  <c r="H12" i="4"/>
  <c r="I12" i="4"/>
  <c r="B13" i="4"/>
  <c r="I13" i="4" s="1"/>
  <c r="C13" i="4"/>
  <c r="D13" i="4"/>
  <c r="E13" i="4"/>
  <c r="F13" i="4"/>
  <c r="G13" i="4"/>
  <c r="H13" i="4"/>
  <c r="B14" i="4"/>
  <c r="C14" i="4"/>
  <c r="D14" i="4"/>
  <c r="E14" i="4"/>
  <c r="F14" i="4"/>
  <c r="G14" i="4"/>
  <c r="H14" i="4"/>
  <c r="I14" i="4"/>
  <c r="B15" i="4"/>
  <c r="I15" i="4" s="1"/>
  <c r="C15" i="4"/>
  <c r="D15" i="4"/>
  <c r="E15" i="4"/>
  <c r="F15" i="4"/>
  <c r="G15" i="4"/>
  <c r="H15" i="4"/>
  <c r="B16" i="4"/>
  <c r="C16" i="4"/>
  <c r="D16" i="4"/>
  <c r="E16" i="4"/>
  <c r="F16" i="4"/>
  <c r="G16" i="4"/>
  <c r="H16" i="4"/>
  <c r="I16" i="4"/>
  <c r="B17" i="4"/>
  <c r="C17" i="4"/>
  <c r="D17" i="4"/>
  <c r="E17" i="4"/>
  <c r="F17" i="4"/>
  <c r="G17" i="4"/>
  <c r="H17" i="4"/>
  <c r="I17" i="4"/>
  <c r="H2" i="4"/>
  <c r="I2" i="4" s="1"/>
  <c r="G2" i="4"/>
  <c r="F2" i="4"/>
  <c r="E2" i="4"/>
  <c r="D2" i="4"/>
  <c r="C2" i="4"/>
  <c r="B2" i="4"/>
  <c r="A15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2" i="2"/>
  <c r="D2" i="3"/>
</calcChain>
</file>

<file path=xl/sharedStrings.xml><?xml version="1.0" encoding="utf-8"?>
<sst xmlns="http://schemas.openxmlformats.org/spreadsheetml/2006/main" count="700" uniqueCount="130">
  <si>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</si>
  <si>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</si>
  <si>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</si>
  <si>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</si>
  <si>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</si>
  <si>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</si>
  <si>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</si>
  <si>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</si>
  <si>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</si>
  <si>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</si>
  <si>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</si>
  <si>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</si>
  <si>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</si>
  <si>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</si>
  <si>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</si>
  <si>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</si>
  <si>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</si>
  <si>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</si>
  <si>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</si>
  <si>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</si>
  <si>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</si>
  <si>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</si>
  <si>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</si>
  <si>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</si>
  <si>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</si>
  <si>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</si>
  <si>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</si>
  <si>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</si>
  <si>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</si>
  <si>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</si>
  <si>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</si>
  <si>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</si>
  <si>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</si>
  <si>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</si>
  <si>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</si>
  <si>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</si>
  <si>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</si>
  <si>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</si>
  <si>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</si>
  <si>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</si>
  <si>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</si>
  <si>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</si>
  <si>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</si>
  <si>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</si>
  <si>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</si>
  <si>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</si>
  <si>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</si>
  <si>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</si>
  <si>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</si>
  <si>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</si>
  <si>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</si>
  <si>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</si>
  <si>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</si>
  <si>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</si>
  <si>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</si>
  <si>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</si>
  <si>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</si>
  <si>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</si>
  <si>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</si>
  <si>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</si>
  <si>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</si>
  <si>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</si>
  <si>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</si>
  <si>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</si>
  <si>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</si>
  <si>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</si>
  <si>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</si>
  <si>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</si>
  <si>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</si>
  <si>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</si>
  <si>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</si>
  <si>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</si>
  <si>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</si>
  <si>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</si>
  <si>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</si>
  <si>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</si>
  <si>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</si>
  <si>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</si>
  <si>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</si>
  <si>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</si>
  <si>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</si>
  <si>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</si>
  <si>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</si>
  <si>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</si>
  <si>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</si>
  <si>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</si>
  <si>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</si>
  <si>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</si>
  <si>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</si>
  <si>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</si>
  <si>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JHANELLE DIDATO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</si>
  <si>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</si>
  <si>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</si>
  <si>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</si>
  <si>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</si>
  <si>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</si>
  <si>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</si>
  <si>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</si>
  <si>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</si>
  <si>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</si>
  <si>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</si>
  <si>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</si>
  <si>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</si>
  <si>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</si>
  <si>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</si>
  <si>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</si>
  <si>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</si>
  <si>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</si>
  <si>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</si>
  <si>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</si>
  <si>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</si>
  <si>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</si>
  <si>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</si>
  <si>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</si>
  <si>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</si>
  <si>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</si>
  <si>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</si>
  <si>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</si>
  <si>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</si>
  <si>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</si>
  <si>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</si>
  <si>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</si>
  <si>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Date</t>
  </si>
  <si>
    <t>Reason</t>
  </si>
  <si>
    <t>Called Off</t>
  </si>
  <si>
    <t>PTO</t>
  </si>
  <si>
    <t>CLEENDY CERILLA</t>
  </si>
  <si>
    <t>Running Late (No ETA)</t>
  </si>
  <si>
    <t>Running Late (ETA : 17:00)</t>
  </si>
  <si>
    <t>Left Early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</si>
</sst>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</cellXfs>
  <cellStyles count="1">
    <cellStyle name="Normal" xfId="0" builtinId="0"/>
  </cellStyles>
  <dxfs count="5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N61"/>
  <sheetViews>
    <sheetView zoomScale="115" zoomScaleNormal="115" workbookViewId="0">
      <selection activeCell="A15" sqref="A15"/>
    </sheetView>
  </sheetViews>
  <sheetFormatPr defaultRowHeight="15" x14ac:dyDescent="0.25"/>
  <cols>
    <col min="1" max="1" width="31" customWidth="1"/>
    <col min="2" max="2" width="11.42578125" customWidth="1"/>
    <col min="3" max="8" width="11.42578125" bestFit="1" customWidth="1"/>
    <col min="9" max="9" width="13.7109375" bestFit="1" customWidth="1"/>
    <col min="10" max="11" width="7.140625" bestFit="1" customWidth="1"/>
    <col min="12" max="12" width="5.85546875" bestFit="1" customWidth="1"/>
    <col min="13" max="13" width="7.140625" bestFit="1" customWidth="1"/>
    <col min="14" max="14" width="17.28515625" bestFit="1" customWidth="1"/>
    <col min="16" max="16" width="15.85546875" customWidth="1"/>
  </cols>
  <sheetData>
    <row r="1" spans="1:14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  <row r="2" spans="1:14" x14ac:dyDescent="0.25">
      <c r="A2" s="16" t="s">
        <v>67</v>
      </c>
      <c r="B2" s="17" t="s">
        <v>15</v>
      </c>
      <c r="C2" s="17" t="s">
        <v>15</v>
      </c>
      <c r="D2" s="17" t="s">
        <v>15</v>
      </c>
      <c r="E2" s="23" t="s">
        <v>25</v>
      </c>
      <c r="F2" s="23" t="s">
        <v>25</v>
      </c>
      <c r="G2" s="23" t="s">
        <v>25</v>
      </c>
      <c r="H2" s="23" t="s">
        <v>25</v>
      </c>
      <c r="I2" s="18" t="s">
        <v>26</v>
      </c>
      <c r="J2" s="19">
        <v>0.92708333333333337</v>
      </c>
      <c r="K2" s="19">
        <v>1.0416666666666666E-2</v>
      </c>
      <c r="L2" s="19">
        <v>0.1875</v>
      </c>
      <c r="M2" s="19">
        <v>0.10416666666666667</v>
      </c>
      <c r="N2" s="20" t="s">
        <v>27</v>
      </c>
    </row>
    <row r="3" spans="1:14" x14ac:dyDescent="0.25">
      <c r="A3" s="16" t="s">
        <v>73</v>
      </c>
      <c r="B3" s="17" t="s">
        <v>15</v>
      </c>
      <c r="C3" s="17" t="s">
        <v>28</v>
      </c>
      <c r="D3" s="17" t="s">
        <v>28</v>
      </c>
      <c r="E3" s="17" t="s">
        <v>28</v>
      </c>
      <c r="F3" s="17" t="s">
        <v>28</v>
      </c>
      <c r="G3" s="17" t="s">
        <v>15</v>
      </c>
      <c r="H3" s="17" t="s">
        <v>15</v>
      </c>
      <c r="I3" s="18" t="s">
        <v>36</v>
      </c>
      <c r="J3" s="21">
        <v>0.45833333333333331</v>
      </c>
      <c r="K3" s="21">
        <v>0.54166666666666663</v>
      </c>
      <c r="L3" s="21">
        <v>0.64583333333333337</v>
      </c>
      <c r="M3" s="21">
        <v>0.76041666666666663</v>
      </c>
      <c r="N3" s="22" t="s">
        <v>27</v>
      </c>
    </row>
    <row r="4" spans="1:14" x14ac:dyDescent="0.25">
      <c r="A4" s="10" t="s">
        <v>74</v>
      </c>
      <c r="B4" s="1" t="s">
        <v>15</v>
      </c>
      <c r="C4" s="1" t="s">
        <v>37</v>
      </c>
      <c r="D4" s="1" t="s">
        <v>37</v>
      </c>
      <c r="E4" s="1" t="s">
        <v>37</v>
      </c>
      <c r="F4" s="1" t="s">
        <v>37</v>
      </c>
      <c r="G4" s="1" t="s">
        <v>15</v>
      </c>
      <c r="H4" s="1" t="s">
        <v>15</v>
      </c>
      <c r="I4" s="2" t="s">
        <v>24</v>
      </c>
      <c r="J4" s="3">
        <v>0.23958333333333334</v>
      </c>
      <c r="K4" s="3">
        <v>0.52083333333333337</v>
      </c>
      <c r="L4" s="3">
        <v>0.35416666666666669</v>
      </c>
      <c r="M4" s="3">
        <v>0.58333333333333337</v>
      </c>
      <c r="N4" s="4" t="s">
        <v>22</v>
      </c>
    </row>
    <row r="5" spans="1:14" x14ac:dyDescent="0.25">
      <c r="A5" s="16" t="s">
        <v>90</v>
      </c>
      <c r="B5" s="17" t="s">
        <v>15</v>
      </c>
      <c r="C5" s="17" t="s">
        <v>15</v>
      </c>
      <c r="D5" s="17" t="s">
        <v>47</v>
      </c>
      <c r="E5" s="17" t="s">
        <v>47</v>
      </c>
      <c r="F5" s="17" t="s">
        <v>47</v>
      </c>
      <c r="G5" s="17" t="s">
        <v>47</v>
      </c>
      <c r="H5" s="17" t="s">
        <v>15</v>
      </c>
      <c r="I5" s="18" t="s">
        <v>29</v>
      </c>
      <c r="J5" s="21">
        <v>0.58333333333333337</v>
      </c>
      <c r="K5" s="21">
        <v>0.8125</v>
      </c>
      <c r="L5" s="21">
        <v>0.67708333333333337</v>
      </c>
      <c r="M5" s="21">
        <v>0.91666666666666663</v>
      </c>
      <c r="N5" s="22" t="s">
        <v>22</v>
      </c>
    </row>
    <row r="6" spans="1:14" x14ac:dyDescent="0.25">
      <c r="A6" s="10" t="s">
        <v>91</v>
      </c>
      <c r="B6" s="1" t="s">
        <v>15</v>
      </c>
      <c r="C6" s="1" t="s">
        <v>43</v>
      </c>
      <c r="D6" s="1" t="s">
        <v>43</v>
      </c>
      <c r="E6" s="1" t="s">
        <v>43</v>
      </c>
      <c r="F6" s="1" t="s">
        <v>43</v>
      </c>
      <c r="G6" s="1" t="s">
        <v>15</v>
      </c>
      <c r="H6" s="1" t="s">
        <v>15</v>
      </c>
      <c r="I6" s="2" t="s">
        <v>36</v>
      </c>
      <c r="J6" s="3">
        <v>0.30208333333333331</v>
      </c>
      <c r="K6" s="3">
        <v>0.46875</v>
      </c>
      <c r="L6" s="3">
        <v>0.38541666666666669</v>
      </c>
      <c r="M6" s="3">
        <v>0.58333333333333337</v>
      </c>
      <c r="N6" s="4" t="s">
        <v>22</v>
      </c>
    </row>
    <row r="7" spans="1:14" s="36" customFormat="1" x14ac:dyDescent="0.25">
      <c r="A7" s="31" t="s">
        <v>96</v>
      </c>
      <c r="B7" s="32" t="s">
        <v>15</v>
      </c>
      <c r="C7" s="37" t="s">
        <v>42</v>
      </c>
      <c r="D7" s="37" t="s">
        <v>42</v>
      </c>
      <c r="E7" s="37" t="s">
        <v>42</v>
      </c>
      <c r="F7" s="37" t="s">
        <v>42</v>
      </c>
      <c r="G7" s="32" t="s">
        <v>15</v>
      </c>
      <c r="H7" s="32" t="s">
        <v>15</v>
      </c>
      <c r="I7" s="33" t="s">
        <v>36</v>
      </c>
      <c r="J7" s="34">
        <v>0.34375</v>
      </c>
      <c r="K7" s="34">
        <v>0.53125</v>
      </c>
      <c r="L7" s="34">
        <v>0.41666666666666669</v>
      </c>
      <c r="M7" s="34">
        <v>0.625</v>
      </c>
      <c r="N7" s="35" t="s">
        <v>32</v>
      </c>
    </row>
    <row r="8" spans="1:14" x14ac:dyDescent="0.25">
      <c r="A8" s="16" t="s">
        <v>101</v>
      </c>
      <c r="B8" s="17" t="s">
        <v>15</v>
      </c>
      <c r="C8" s="17" t="s">
        <v>46</v>
      </c>
      <c r="D8" s="17" t="s">
        <v>46</v>
      </c>
      <c r="E8" s="17" t="s">
        <v>46</v>
      </c>
      <c r="F8" s="17" t="s">
        <v>46</v>
      </c>
      <c r="G8" s="17" t="s">
        <v>15</v>
      </c>
      <c r="H8" s="17" t="s">
        <v>15</v>
      </c>
      <c r="I8" s="18" t="s">
        <v>36</v>
      </c>
      <c r="J8" s="21">
        <v>0.8125</v>
      </c>
      <c r="K8" s="21">
        <v>0</v>
      </c>
      <c r="L8" s="21">
        <v>0.90625</v>
      </c>
      <c r="M8" s="21">
        <v>0.10416666666666667</v>
      </c>
      <c r="N8" s="22" t="s">
        <v>22</v>
      </c>
    </row>
    <row r="9" spans="1:14" x14ac:dyDescent="0.25">
      <c r="A9" s="16" t="s">
        <v>105</v>
      </c>
      <c r="B9" s="17" t="s">
        <v>15</v>
      </c>
      <c r="C9" s="17" t="s">
        <v>15</v>
      </c>
      <c r="D9" s="17" t="s">
        <v>54</v>
      </c>
      <c r="E9" s="17" t="s">
        <v>54</v>
      </c>
      <c r="F9" s="17" t="s">
        <v>54</v>
      </c>
      <c r="G9" s="17" t="s">
        <v>54</v>
      </c>
      <c r="H9" s="17" t="s">
        <v>15</v>
      </c>
      <c r="I9" s="18" t="s">
        <v>55</v>
      </c>
      <c r="J9" s="21">
        <v>0.85416666666666663</v>
      </c>
      <c r="K9" s="21">
        <v>7.2916666666666671E-2</v>
      </c>
      <c r="L9" s="21">
        <v>0.94791666666666663</v>
      </c>
      <c r="M9" s="21">
        <v>0.17708333333333334</v>
      </c>
      <c r="N9" s="22" t="s">
        <v>32</v>
      </c>
    </row>
    <row r="10" spans="1:14" x14ac:dyDescent="0.25">
      <c r="A10" s="16" t="s">
        <v>107</v>
      </c>
      <c r="B10" s="17" t="s">
        <v>15</v>
      </c>
      <c r="C10" s="17" t="s">
        <v>28</v>
      </c>
      <c r="D10" s="17" t="s">
        <v>28</v>
      </c>
      <c r="E10" s="17" t="s">
        <v>28</v>
      </c>
      <c r="F10" s="17" t="s">
        <v>28</v>
      </c>
      <c r="G10" s="17" t="s">
        <v>15</v>
      </c>
      <c r="H10" s="17" t="s">
        <v>15</v>
      </c>
      <c r="I10" s="18" t="s">
        <v>36</v>
      </c>
      <c r="J10" s="21">
        <v>0.46875</v>
      </c>
      <c r="K10" s="21">
        <v>0.5625</v>
      </c>
      <c r="L10" s="21">
        <v>0.625</v>
      </c>
      <c r="M10" s="21">
        <v>0.78125</v>
      </c>
      <c r="N10" s="22" t="s">
        <v>27</v>
      </c>
    </row>
    <row r="11" spans="1:14" x14ac:dyDescent="0.25">
      <c r="A11" s="16" t="s">
        <v>109</v>
      </c>
      <c r="B11" s="17" t="s">
        <v>15</v>
      </c>
      <c r="C11" s="17" t="s">
        <v>15</v>
      </c>
      <c r="D11" s="17" t="s">
        <v>15</v>
      </c>
      <c r="E11" s="17" t="s">
        <v>25</v>
      </c>
      <c r="F11" s="17" t="s">
        <v>25</v>
      </c>
      <c r="G11" s="17" t="s">
        <v>25</v>
      </c>
      <c r="H11" s="17" t="s">
        <v>25</v>
      </c>
      <c r="I11" s="18" t="s">
        <v>26</v>
      </c>
      <c r="J11" s="21">
        <v>0.91666666666666663</v>
      </c>
      <c r="K11" s="21">
        <v>2.0833333333333332E-2</v>
      </c>
      <c r="L11" s="21">
        <v>0.10416666666666667</v>
      </c>
      <c r="M11" s="21">
        <v>0.25</v>
      </c>
      <c r="N11" s="22" t="s">
        <v>32</v>
      </c>
    </row>
    <row r="12" spans="1:14" x14ac:dyDescent="0.25">
      <c r="A12" s="11" t="s">
        <v>111</v>
      </c>
      <c r="B12" s="5" t="s">
        <v>15</v>
      </c>
      <c r="C12" s="5" t="s">
        <v>15</v>
      </c>
      <c r="D12" s="5" t="s">
        <v>15</v>
      </c>
      <c r="E12" s="5" t="s">
        <v>44</v>
      </c>
      <c r="F12" s="5" t="s">
        <v>44</v>
      </c>
      <c r="G12" s="5" t="s">
        <v>44</v>
      </c>
      <c r="H12" s="5" t="s">
        <v>44</v>
      </c>
      <c r="I12" s="6" t="s">
        <v>57</v>
      </c>
      <c r="J12" s="7">
        <v>0.5</v>
      </c>
      <c r="K12" s="7">
        <v>0.72916666666666663</v>
      </c>
      <c r="L12" s="7">
        <v>0.60416666666666663</v>
      </c>
      <c r="M12" s="7">
        <v>0.82291666666666663</v>
      </c>
      <c r="N12" s="8" t="s">
        <v>32</v>
      </c>
    </row>
    <row r="13" spans="1:14" x14ac:dyDescent="0.25">
      <c r="A13" s="11" t="s">
        <v>116</v>
      </c>
      <c r="B13" s="5" t="s">
        <v>15</v>
      </c>
      <c r="C13" s="5" t="s">
        <v>15</v>
      </c>
      <c r="D13" s="5" t="s">
        <v>60</v>
      </c>
      <c r="E13" s="5" t="s">
        <v>60</v>
      </c>
      <c r="F13" s="5" t="s">
        <v>15</v>
      </c>
      <c r="G13" s="5" t="s">
        <v>60</v>
      </c>
      <c r="H13" s="5" t="s">
        <v>60</v>
      </c>
      <c r="I13" s="6" t="s">
        <v>61</v>
      </c>
      <c r="J13" s="7">
        <v>5.2083333333333336E-2</v>
      </c>
      <c r="K13" s="7">
        <v>0.27083333333333331</v>
      </c>
      <c r="L13" s="7">
        <v>0.14583333333333334</v>
      </c>
      <c r="M13" s="7">
        <v>0.36458333333333331</v>
      </c>
      <c r="N13" s="8" t="s">
        <v>30</v>
      </c>
    </row>
    <row r="14" spans="1:14" x14ac:dyDescent="0.25">
      <c r="A14" s="10" t="s">
        <v>117</v>
      </c>
      <c r="B14" s="1" t="s">
        <v>15</v>
      </c>
      <c r="C14" s="1" t="s">
        <v>15</v>
      </c>
      <c r="D14" s="1" t="s">
        <v>28</v>
      </c>
      <c r="E14" s="1" t="s">
        <v>28</v>
      </c>
      <c r="F14" s="1" t="s">
        <v>28</v>
      </c>
      <c r="G14" s="1" t="s">
        <v>28</v>
      </c>
      <c r="H14" s="1" t="s">
        <v>15</v>
      </c>
      <c r="I14" s="2" t="s">
        <v>29</v>
      </c>
      <c r="J14" s="3">
        <v>0.46875</v>
      </c>
      <c r="K14" s="3">
        <v>0.72916666666666663</v>
      </c>
      <c r="L14" s="3">
        <v>0.5625</v>
      </c>
      <c r="M14" s="3">
        <v>0.79166666666666663</v>
      </c>
      <c r="N14" s="4" t="s">
        <v>22</v>
      </c>
    </row>
    <row r="15" spans="1:14" x14ac:dyDescent="0.25">
      <c r="A15" s="11" t="s">
        <v>99</v>
      </c>
      <c r="B15" s="5" t="s">
        <v>52</v>
      </c>
      <c r="C15" s="5" t="s">
        <v>52</v>
      </c>
      <c r="D15" s="5" t="s">
        <v>52</v>
      </c>
      <c r="E15" s="5" t="s">
        <v>15</v>
      </c>
      <c r="F15" s="5" t="s">
        <v>15</v>
      </c>
      <c r="G15" s="5" t="s">
        <v>52</v>
      </c>
      <c r="H15" s="5" t="s">
        <v>15</v>
      </c>
      <c r="I15" s="6" t="s">
        <v>53</v>
      </c>
      <c r="J15" s="7">
        <v>5.2083333333333336E-2</v>
      </c>
      <c r="K15" s="7">
        <v>0.27083333333333331</v>
      </c>
      <c r="L15" s="7">
        <v>0.125</v>
      </c>
      <c r="M15" s="7">
        <v>0.35416666666666669</v>
      </c>
      <c r="N15" s="8" t="s">
        <v>32</v>
      </c>
    </row>
    <row r="16" spans="1:14" x14ac:dyDescent="0.25">
      <c r="A16" s="11" t="s">
        <v>88</v>
      </c>
      <c r="B16" s="13" t="s">
        <v>56</v>
      </c>
      <c r="C16" s="13" t="s">
        <v>56</v>
      </c>
      <c r="D16" s="5" t="s">
        <v>15</v>
      </c>
      <c r="E16" s="13" t="s">
        <v>56</v>
      </c>
      <c r="F16" s="13" t="s">
        <v>56</v>
      </c>
      <c r="G16" s="5" t="s">
        <v>15</v>
      </c>
      <c r="H16" s="5" t="s">
        <v>15</v>
      </c>
      <c r="I16" s="6" t="s">
        <v>35</v>
      </c>
      <c r="J16" s="7">
        <v>0.16666666666666666</v>
      </c>
      <c r="K16" s="7">
        <v>0.26041666666666669</v>
      </c>
      <c r="L16" s="7">
        <v>4.1666666666666664E-2</v>
      </c>
      <c r="M16" s="7">
        <v>0.33333333333333331</v>
      </c>
      <c r="N16" s="8" t="s">
        <v>22</v>
      </c>
    </row>
    <row r="17" spans="1:14" x14ac:dyDescent="0.25">
      <c r="A17" s="10" t="s">
        <v>110</v>
      </c>
      <c r="B17" s="1" t="s">
        <v>56</v>
      </c>
      <c r="C17" s="1" t="s">
        <v>56</v>
      </c>
      <c r="D17" s="1" t="s">
        <v>56</v>
      </c>
      <c r="E17" s="1" t="s">
        <v>56</v>
      </c>
      <c r="F17" s="1" t="s">
        <v>15</v>
      </c>
      <c r="G17" s="1" t="s">
        <v>15</v>
      </c>
      <c r="H17" s="1" t="s">
        <v>15</v>
      </c>
      <c r="I17" s="2" t="s">
        <v>24</v>
      </c>
      <c r="J17" s="3">
        <v>0</v>
      </c>
      <c r="K17" s="3">
        <v>0.19791666666666666</v>
      </c>
      <c r="L17" s="3">
        <v>9.375E-2</v>
      </c>
      <c r="M17" s="3">
        <v>0.30208333333333331</v>
      </c>
      <c r="N17" s="4" t="s">
        <v>22</v>
      </c>
    </row>
    <row r="18" spans="1:14" x14ac:dyDescent="0.25">
      <c r="A18" s="11" t="s">
        <v>94</v>
      </c>
      <c r="B18" s="5" t="s">
        <v>50</v>
      </c>
      <c r="C18" s="5" t="s">
        <v>15</v>
      </c>
      <c r="D18" s="5" t="s">
        <v>15</v>
      </c>
      <c r="E18" s="5" t="s">
        <v>50</v>
      </c>
      <c r="F18" s="5" t="s">
        <v>50</v>
      </c>
      <c r="G18" s="5" t="s">
        <v>15</v>
      </c>
      <c r="H18" s="5" t="s">
        <v>50</v>
      </c>
      <c r="I18" s="6" t="s">
        <v>51</v>
      </c>
      <c r="J18" s="7">
        <v>0.125</v>
      </c>
      <c r="K18" s="7">
        <v>0.21875</v>
      </c>
      <c r="L18" s="7">
        <v>0</v>
      </c>
      <c r="M18" s="7">
        <v>0.29166666666666669</v>
      </c>
      <c r="N18" s="8" t="s">
        <v>17</v>
      </c>
    </row>
    <row r="19" spans="1:14" x14ac:dyDescent="0.25">
      <c r="A19" s="16" t="s">
        <v>92</v>
      </c>
      <c r="B19" s="17" t="s">
        <v>48</v>
      </c>
      <c r="C19" s="17" t="s">
        <v>48</v>
      </c>
      <c r="D19" s="17" t="s">
        <v>15</v>
      </c>
      <c r="E19" s="17" t="s">
        <v>15</v>
      </c>
      <c r="F19" s="17" t="s">
        <v>15</v>
      </c>
      <c r="G19" s="17" t="s">
        <v>48</v>
      </c>
      <c r="H19" s="17" t="s">
        <v>48</v>
      </c>
      <c r="I19" s="18" t="s">
        <v>49</v>
      </c>
      <c r="J19" s="21">
        <v>0.95833333333333337</v>
      </c>
      <c r="K19" s="21">
        <v>6.25E-2</v>
      </c>
      <c r="L19" s="21">
        <v>0.16666666666666666</v>
      </c>
      <c r="M19" s="21">
        <v>0.29166666666666669</v>
      </c>
      <c r="N19" s="22" t="s">
        <v>30</v>
      </c>
    </row>
    <row r="20" spans="1:14" x14ac:dyDescent="0.25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</row>
    <row r="21" spans="1:14" x14ac:dyDescent="0.25">
      <c r="A21" s="16" t="s">
        <v>114</v>
      </c>
      <c r="B21" s="17" t="s">
        <v>46</v>
      </c>
      <c r="C21" s="17" t="s">
        <v>46</v>
      </c>
      <c r="D21" s="17" t="s">
        <v>46</v>
      </c>
      <c r="E21" s="17" t="s">
        <v>15</v>
      </c>
      <c r="F21" s="17" t="s">
        <v>15</v>
      </c>
      <c r="G21" s="17" t="s">
        <v>15</v>
      </c>
      <c r="H21" s="17" t="s">
        <v>46</v>
      </c>
      <c r="I21" s="18" t="s">
        <v>19</v>
      </c>
      <c r="J21" s="21">
        <v>0.8125</v>
      </c>
      <c r="K21" s="21">
        <v>1.0416666666666666E-2</v>
      </c>
      <c r="L21" s="21">
        <v>0.89583333333333337</v>
      </c>
      <c r="M21" s="21">
        <v>0.11458333333333333</v>
      </c>
      <c r="N21" s="22" t="s">
        <v>32</v>
      </c>
    </row>
    <row r="22" spans="1:14" x14ac:dyDescent="0.25">
      <c r="A22" s="10" t="s">
        <v>64</v>
      </c>
      <c r="B22" s="1" t="s">
        <v>18</v>
      </c>
      <c r="C22" s="1" t="s">
        <v>18</v>
      </c>
      <c r="D22" s="1" t="s">
        <v>18</v>
      </c>
      <c r="E22" s="1" t="s">
        <v>15</v>
      </c>
      <c r="F22" s="1" t="s">
        <v>15</v>
      </c>
      <c r="G22" s="1" t="s">
        <v>15</v>
      </c>
      <c r="H22" s="1" t="s">
        <v>18</v>
      </c>
      <c r="I22" s="1" t="s">
        <v>19</v>
      </c>
      <c r="J22" s="3">
        <v>0.61458333333333337</v>
      </c>
      <c r="K22" s="3">
        <v>0.8125</v>
      </c>
      <c r="L22" s="3">
        <v>0.6875</v>
      </c>
      <c r="M22" s="3">
        <v>0.91666666666666663</v>
      </c>
      <c r="N22" s="4" t="s">
        <v>17</v>
      </c>
    </row>
    <row r="23" spans="1:14" x14ac:dyDescent="0.25">
      <c r="A23" s="16" t="s">
        <v>95</v>
      </c>
      <c r="B23" s="17" t="s">
        <v>18</v>
      </c>
      <c r="C23" s="17" t="s">
        <v>18</v>
      </c>
      <c r="D23" s="17" t="s">
        <v>18</v>
      </c>
      <c r="E23" s="17" t="s">
        <v>18</v>
      </c>
      <c r="F23" s="17" t="s">
        <v>15</v>
      </c>
      <c r="G23" s="17" t="s">
        <v>15</v>
      </c>
      <c r="H23" s="17" t="s">
        <v>15</v>
      </c>
      <c r="I23" s="18" t="s">
        <v>24</v>
      </c>
      <c r="J23" s="21">
        <v>0.625</v>
      </c>
      <c r="K23" s="21">
        <v>0.875</v>
      </c>
      <c r="L23" s="21">
        <v>0.75</v>
      </c>
      <c r="M23" s="21">
        <v>0.97916666666666663</v>
      </c>
      <c r="N23" s="22" t="s">
        <v>22</v>
      </c>
    </row>
    <row r="24" spans="1:14" x14ac:dyDescent="0.25">
      <c r="A24" s="11" t="s">
        <v>76</v>
      </c>
      <c r="B24" s="5" t="s">
        <v>38</v>
      </c>
      <c r="C24" s="5" t="s">
        <v>38</v>
      </c>
      <c r="D24" s="5" t="s">
        <v>38</v>
      </c>
      <c r="E24" s="5" t="s">
        <v>38</v>
      </c>
      <c r="F24" s="5" t="s">
        <v>15</v>
      </c>
      <c r="G24" s="5" t="s">
        <v>15</v>
      </c>
      <c r="H24" s="5" t="s">
        <v>15</v>
      </c>
      <c r="I24" s="6" t="s">
        <v>24</v>
      </c>
      <c r="J24" s="7">
        <v>0.54166666666666663</v>
      </c>
      <c r="K24" s="7">
        <v>0.63541666666666663</v>
      </c>
      <c r="L24" s="7">
        <v>0.72916666666666663</v>
      </c>
      <c r="M24" s="7">
        <v>0.85416666666666663</v>
      </c>
      <c r="N24" s="8" t="s">
        <v>30</v>
      </c>
    </row>
    <row r="25" spans="1:14" x14ac:dyDescent="0.25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</row>
    <row r="26" spans="1:14" x14ac:dyDescent="0.25">
      <c r="A26" s="11" t="s">
        <v>79</v>
      </c>
      <c r="B26" s="5" t="s">
        <v>39</v>
      </c>
      <c r="C26" s="5" t="s">
        <v>39</v>
      </c>
      <c r="D26" s="5" t="s">
        <v>15</v>
      </c>
      <c r="E26" s="5" t="s">
        <v>15</v>
      </c>
      <c r="F26" s="5" t="s">
        <v>15</v>
      </c>
      <c r="G26" s="5" t="s">
        <v>39</v>
      </c>
      <c r="H26" s="5" t="s">
        <v>39</v>
      </c>
      <c r="I26" s="6" t="s">
        <v>16</v>
      </c>
      <c r="J26" s="7">
        <v>0.53125</v>
      </c>
      <c r="K26" s="7">
        <v>0.76041666666666663</v>
      </c>
      <c r="L26" s="7">
        <v>0.64583333333333337</v>
      </c>
      <c r="M26" s="7">
        <v>0.875</v>
      </c>
      <c r="N26" s="8" t="s">
        <v>27</v>
      </c>
    </row>
    <row r="27" spans="1:14" x14ac:dyDescent="0.25">
      <c r="A27" s="11" t="s">
        <v>84</v>
      </c>
      <c r="B27" s="5" t="s">
        <v>44</v>
      </c>
      <c r="C27" s="5" t="s">
        <v>44</v>
      </c>
      <c r="D27" s="5" t="s">
        <v>44</v>
      </c>
      <c r="E27" s="5" t="s">
        <v>44</v>
      </c>
      <c r="F27" s="5" t="s">
        <v>15</v>
      </c>
      <c r="G27" s="5" t="s">
        <v>15</v>
      </c>
      <c r="H27" s="5" t="s">
        <v>15</v>
      </c>
      <c r="I27" s="6" t="s">
        <v>24</v>
      </c>
      <c r="J27" s="7">
        <v>0.51041666666666663</v>
      </c>
      <c r="K27" s="7">
        <v>0.59375</v>
      </c>
      <c r="L27" s="7">
        <v>0.6875</v>
      </c>
      <c r="M27" s="7">
        <v>0.8125</v>
      </c>
      <c r="N27" s="8" t="s">
        <v>27</v>
      </c>
    </row>
    <row r="28" spans="1:14" x14ac:dyDescent="0.25">
      <c r="A28" s="31" t="s">
        <v>68</v>
      </c>
      <c r="B28" s="32" t="s">
        <v>28</v>
      </c>
      <c r="C28" s="32" t="s">
        <v>28</v>
      </c>
      <c r="D28" s="32" t="s">
        <v>15</v>
      </c>
      <c r="E28" s="32" t="s">
        <v>15</v>
      </c>
      <c r="F28" s="32" t="s">
        <v>28</v>
      </c>
      <c r="G28" s="32" t="s">
        <v>28</v>
      </c>
      <c r="H28" s="32" t="s">
        <v>15</v>
      </c>
      <c r="I28" s="33" t="s">
        <v>29</v>
      </c>
      <c r="J28" s="34">
        <v>0.45833333333333331</v>
      </c>
      <c r="K28" s="34">
        <v>0.55208333333333337</v>
      </c>
      <c r="L28" s="34">
        <v>0.6875</v>
      </c>
      <c r="M28" s="34">
        <v>0.78125</v>
      </c>
      <c r="N28" s="35" t="s">
        <v>30</v>
      </c>
    </row>
    <row r="29" spans="1:14" x14ac:dyDescent="0.25">
      <c r="A29" s="16" t="s">
        <v>69</v>
      </c>
      <c r="B29" s="17" t="s">
        <v>28</v>
      </c>
      <c r="C29" s="17" t="s">
        <v>28</v>
      </c>
      <c r="D29" s="17" t="s">
        <v>28</v>
      </c>
      <c r="E29" s="17" t="s">
        <v>15</v>
      </c>
      <c r="F29" s="17" t="s">
        <v>28</v>
      </c>
      <c r="G29" s="17" t="s">
        <v>15</v>
      </c>
      <c r="H29" s="17" t="s">
        <v>15</v>
      </c>
      <c r="I29" s="18" t="s">
        <v>21</v>
      </c>
      <c r="J29" s="21">
        <v>0.47916666666666669</v>
      </c>
      <c r="K29" s="21">
        <v>0.625</v>
      </c>
      <c r="L29" s="21">
        <v>0.55208333333333337</v>
      </c>
      <c r="M29" s="21">
        <v>0.77083333333333337</v>
      </c>
      <c r="N29" s="22" t="s">
        <v>27</v>
      </c>
    </row>
    <row r="30" spans="1:14" x14ac:dyDescent="0.25">
      <c r="A30" s="10" t="s">
        <v>70</v>
      </c>
      <c r="B30" s="1" t="s">
        <v>28</v>
      </c>
      <c r="C30" s="1" t="s">
        <v>15</v>
      </c>
      <c r="D30" s="1" t="s">
        <v>15</v>
      </c>
      <c r="E30" s="1" t="s">
        <v>15</v>
      </c>
      <c r="F30" s="1" t="s">
        <v>28</v>
      </c>
      <c r="G30" s="1" t="s">
        <v>28</v>
      </c>
      <c r="H30" s="1" t="s">
        <v>28</v>
      </c>
      <c r="I30" s="2" t="s">
        <v>31</v>
      </c>
      <c r="J30" s="3">
        <v>0.58333333333333337</v>
      </c>
      <c r="K30" s="3">
        <v>0.67708333333333337</v>
      </c>
      <c r="L30" s="3">
        <v>0.45833333333333331</v>
      </c>
      <c r="M30" s="3">
        <v>0.77083333333333337</v>
      </c>
      <c r="N30" s="4" t="s">
        <v>32</v>
      </c>
    </row>
    <row r="31" spans="1:14" x14ac:dyDescent="0.25">
      <c r="A31" s="11" t="s">
        <v>71</v>
      </c>
      <c r="B31" s="5" t="s">
        <v>28</v>
      </c>
      <c r="C31" s="5" t="s">
        <v>15</v>
      </c>
      <c r="D31" s="5" t="s">
        <v>28</v>
      </c>
      <c r="E31" s="5" t="s">
        <v>28</v>
      </c>
      <c r="F31" s="5" t="s">
        <v>28</v>
      </c>
      <c r="G31" s="5" t="s">
        <v>15</v>
      </c>
      <c r="H31" s="5" t="s">
        <v>15</v>
      </c>
      <c r="I31" s="6" t="s">
        <v>33</v>
      </c>
      <c r="J31" s="7">
        <v>0.46875</v>
      </c>
      <c r="K31" s="7">
        <v>0.5625</v>
      </c>
      <c r="L31" s="7">
        <v>0.75</v>
      </c>
      <c r="M31" s="7">
        <v>0.65625</v>
      </c>
      <c r="N31" s="8" t="s">
        <v>30</v>
      </c>
    </row>
    <row r="32" spans="1:14" x14ac:dyDescent="0.25">
      <c r="A32" s="11" t="s">
        <v>77</v>
      </c>
      <c r="B32" s="5" t="s">
        <v>28</v>
      </c>
      <c r="C32" s="5" t="s">
        <v>28</v>
      </c>
      <c r="D32" s="5" t="s">
        <v>28</v>
      </c>
      <c r="E32" s="5" t="s">
        <v>15</v>
      </c>
      <c r="F32" s="5" t="s">
        <v>28</v>
      </c>
      <c r="G32" s="5" t="s">
        <v>15</v>
      </c>
      <c r="H32" s="5" t="s">
        <v>15</v>
      </c>
      <c r="I32" s="6" t="s">
        <v>21</v>
      </c>
      <c r="J32" s="7">
        <v>0.45833333333333331</v>
      </c>
      <c r="K32" s="7">
        <v>0.57291666666666663</v>
      </c>
      <c r="L32" s="7">
        <v>0.64583333333333337</v>
      </c>
      <c r="M32" s="7">
        <v>0.77083333333333337</v>
      </c>
      <c r="N32" s="8" t="s">
        <v>30</v>
      </c>
    </row>
    <row r="33" spans="1:14" x14ac:dyDescent="0.25">
      <c r="A33" s="11" t="s">
        <v>78</v>
      </c>
      <c r="B33" s="5" t="s">
        <v>28</v>
      </c>
      <c r="C33" s="5" t="s">
        <v>28</v>
      </c>
      <c r="D33" s="5" t="s">
        <v>15</v>
      </c>
      <c r="E33" s="5" t="s">
        <v>28</v>
      </c>
      <c r="F33" s="5" t="s">
        <v>28</v>
      </c>
      <c r="G33" s="5" t="s">
        <v>15</v>
      </c>
      <c r="H33" s="5" t="s">
        <v>15</v>
      </c>
      <c r="I33" s="6" t="s">
        <v>35</v>
      </c>
      <c r="J33" s="7">
        <v>0.48958333333333331</v>
      </c>
      <c r="K33" s="7">
        <v>0.57291666666666663</v>
      </c>
      <c r="L33" s="7">
        <v>0.66666666666666663</v>
      </c>
      <c r="M33" s="7">
        <v>0.75</v>
      </c>
      <c r="N33" s="8" t="s">
        <v>30</v>
      </c>
    </row>
    <row r="34" spans="1:14" x14ac:dyDescent="0.25">
      <c r="A34" s="16" t="s">
        <v>97</v>
      </c>
      <c r="B34" s="17" t="s">
        <v>28</v>
      </c>
      <c r="C34" s="17" t="s">
        <v>28</v>
      </c>
      <c r="D34" s="17" t="s">
        <v>28</v>
      </c>
      <c r="E34" s="17" t="s">
        <v>15</v>
      </c>
      <c r="F34" s="17" t="s">
        <v>28</v>
      </c>
      <c r="G34" s="17" t="s">
        <v>15</v>
      </c>
      <c r="H34" s="17" t="s">
        <v>15</v>
      </c>
      <c r="I34" s="18" t="s">
        <v>21</v>
      </c>
      <c r="J34" s="21">
        <v>0.45833333333333331</v>
      </c>
      <c r="K34" s="21">
        <v>0.55208333333333337</v>
      </c>
      <c r="L34" s="21">
        <v>0.625</v>
      </c>
      <c r="M34" s="21">
        <v>0.77083333333333337</v>
      </c>
      <c r="N34" s="22" t="s">
        <v>30</v>
      </c>
    </row>
    <row r="35" spans="1:14" s="36" customFormat="1" x14ac:dyDescent="0.25">
      <c r="A35" s="11" t="s">
        <v>103</v>
      </c>
      <c r="B35" s="5" t="s">
        <v>28</v>
      </c>
      <c r="C35" s="5" t="s">
        <v>28</v>
      </c>
      <c r="D35" s="5" t="s">
        <v>15</v>
      </c>
      <c r="E35" s="5" t="s">
        <v>28</v>
      </c>
      <c r="F35" s="5" t="s">
        <v>28</v>
      </c>
      <c r="G35" s="5" t="s">
        <v>15</v>
      </c>
      <c r="H35" s="5" t="s">
        <v>15</v>
      </c>
      <c r="I35" s="6" t="s">
        <v>35</v>
      </c>
      <c r="J35" s="7">
        <v>0.48958333333333331</v>
      </c>
      <c r="K35" s="7">
        <v>0.69791666666666663</v>
      </c>
      <c r="L35" s="7">
        <v>0.57291666666666663</v>
      </c>
      <c r="M35" s="7">
        <v>0.78125</v>
      </c>
      <c r="N35" s="8" t="s">
        <v>27</v>
      </c>
    </row>
    <row r="36" spans="1:14" x14ac:dyDescent="0.25">
      <c r="A36" s="11" t="s">
        <v>104</v>
      </c>
      <c r="B36" s="5" t="s">
        <v>28</v>
      </c>
      <c r="C36" s="5" t="s">
        <v>28</v>
      </c>
      <c r="D36" s="5" t="s">
        <v>28</v>
      </c>
      <c r="E36" s="5" t="s">
        <v>28</v>
      </c>
      <c r="F36" s="5" t="s">
        <v>15</v>
      </c>
      <c r="G36" s="5" t="s">
        <v>15</v>
      </c>
      <c r="H36" s="5" t="s">
        <v>15</v>
      </c>
      <c r="I36" s="6" t="s">
        <v>24</v>
      </c>
      <c r="J36" s="7">
        <v>0.45833333333333331</v>
      </c>
      <c r="K36" s="7">
        <v>0.67708333333333337</v>
      </c>
      <c r="L36" s="7">
        <v>0.55208333333333337</v>
      </c>
      <c r="M36" s="7">
        <v>0.77083333333333337</v>
      </c>
      <c r="N36" s="8" t="s">
        <v>30</v>
      </c>
    </row>
    <row r="37" spans="1:14" x14ac:dyDescent="0.25">
      <c r="A37" s="10" t="s">
        <v>106</v>
      </c>
      <c r="B37" s="1" t="s">
        <v>28</v>
      </c>
      <c r="C37" s="1" t="s">
        <v>28</v>
      </c>
      <c r="D37" s="1" t="s">
        <v>15</v>
      </c>
      <c r="E37" s="1" t="s">
        <v>28</v>
      </c>
      <c r="F37" s="1" t="s">
        <v>28</v>
      </c>
      <c r="G37" s="1" t="s">
        <v>15</v>
      </c>
      <c r="H37" s="1" t="s">
        <v>15</v>
      </c>
      <c r="I37" s="2" t="s">
        <v>24</v>
      </c>
      <c r="J37" s="3">
        <v>0.47916666666666669</v>
      </c>
      <c r="K37" s="3">
        <v>0.67708333333333337</v>
      </c>
      <c r="L37" s="3">
        <v>0.57291666666666663</v>
      </c>
      <c r="M37" s="3">
        <v>0.78125</v>
      </c>
      <c r="N37" s="4" t="s">
        <v>17</v>
      </c>
    </row>
    <row r="38" spans="1:14" x14ac:dyDescent="0.25">
      <c r="A38" s="10" t="s">
        <v>112</v>
      </c>
      <c r="B38" s="1" t="s">
        <v>28</v>
      </c>
      <c r="C38" s="1" t="s">
        <v>15</v>
      </c>
      <c r="D38" s="1" t="s">
        <v>15</v>
      </c>
      <c r="E38" s="1" t="s">
        <v>15</v>
      </c>
      <c r="F38" s="1" t="s">
        <v>28</v>
      </c>
      <c r="G38" s="1" t="s">
        <v>28</v>
      </c>
      <c r="H38" s="1" t="s">
        <v>28</v>
      </c>
      <c r="I38" s="2" t="s">
        <v>31</v>
      </c>
      <c r="J38" s="3">
        <v>0.46875</v>
      </c>
      <c r="K38" s="3">
        <v>0.5625</v>
      </c>
      <c r="L38" s="3">
        <v>0.625</v>
      </c>
      <c r="M38" s="3">
        <v>0.77083333333333337</v>
      </c>
      <c r="N38" s="4" t="s">
        <v>32</v>
      </c>
    </row>
    <row r="39" spans="1:14" x14ac:dyDescent="0.25">
      <c r="A39" s="11" t="s">
        <v>113</v>
      </c>
      <c r="B39" s="5" t="s">
        <v>28</v>
      </c>
      <c r="C39" s="5" t="s">
        <v>15</v>
      </c>
      <c r="D39" s="5" t="s">
        <v>15</v>
      </c>
      <c r="E39" s="5" t="s">
        <v>15</v>
      </c>
      <c r="F39" s="5" t="s">
        <v>28</v>
      </c>
      <c r="G39" s="5" t="s">
        <v>28</v>
      </c>
      <c r="H39" s="5" t="s">
        <v>28</v>
      </c>
      <c r="I39" s="6" t="s">
        <v>31</v>
      </c>
      <c r="J39" s="7">
        <v>0.44791666666666669</v>
      </c>
      <c r="K39" s="7">
        <v>0.65625</v>
      </c>
      <c r="L39" s="7">
        <v>0.52083333333333337</v>
      </c>
      <c r="M39" s="7">
        <v>0.76041666666666663</v>
      </c>
      <c r="N39" s="8" t="s">
        <v>30</v>
      </c>
    </row>
    <row r="40" spans="1:14" x14ac:dyDescent="0.25">
      <c r="A40" s="11" t="s">
        <v>119</v>
      </c>
      <c r="B40" s="5" t="s">
        <v>28</v>
      </c>
      <c r="C40" s="5" t="s">
        <v>28</v>
      </c>
      <c r="D40" s="5" t="s">
        <v>28</v>
      </c>
      <c r="E40" s="5" t="s">
        <v>15</v>
      </c>
      <c r="F40" s="5" t="s">
        <v>28</v>
      </c>
      <c r="G40" s="5" t="s">
        <v>15</v>
      </c>
      <c r="H40" s="5" t="s">
        <v>15</v>
      </c>
      <c r="I40" s="6" t="s">
        <v>21</v>
      </c>
      <c r="J40" s="7">
        <v>0.48958333333333331</v>
      </c>
      <c r="K40" s="7">
        <v>0.72916666666666663</v>
      </c>
      <c r="L40" s="7">
        <v>0.60416666666666663</v>
      </c>
      <c r="M40" s="7">
        <v>0.8125</v>
      </c>
      <c r="N40" s="8" t="s">
        <v>30</v>
      </c>
    </row>
    <row r="41" spans="1:14" x14ac:dyDescent="0.25">
      <c r="A41" s="16" t="s">
        <v>65</v>
      </c>
      <c r="B41" s="17" t="s">
        <v>20</v>
      </c>
      <c r="C41" s="17" t="s">
        <v>20</v>
      </c>
      <c r="D41" s="17" t="s">
        <v>20</v>
      </c>
      <c r="E41" s="17" t="s">
        <v>15</v>
      </c>
      <c r="F41" s="17" t="s">
        <v>20</v>
      </c>
      <c r="G41" s="17" t="s">
        <v>15</v>
      </c>
      <c r="H41" s="17" t="s">
        <v>15</v>
      </c>
      <c r="I41" s="18" t="s">
        <v>21</v>
      </c>
      <c r="J41" s="21">
        <v>0.39583333333333331</v>
      </c>
      <c r="K41" s="21">
        <v>0.60416666666666663</v>
      </c>
      <c r="L41" s="21">
        <v>0.47916666666666669</v>
      </c>
      <c r="M41" s="21">
        <v>0.73958333333333337</v>
      </c>
      <c r="N41" s="22" t="s">
        <v>22</v>
      </c>
    </row>
    <row r="42" spans="1:14" x14ac:dyDescent="0.25">
      <c r="A42" s="16" t="s">
        <v>75</v>
      </c>
      <c r="B42" s="17" t="s">
        <v>20</v>
      </c>
      <c r="C42" s="17" t="s">
        <v>15</v>
      </c>
      <c r="D42" s="17" t="s">
        <v>15</v>
      </c>
      <c r="E42" s="17" t="s">
        <v>15</v>
      </c>
      <c r="F42" s="17" t="s">
        <v>20</v>
      </c>
      <c r="G42" s="17" t="s">
        <v>20</v>
      </c>
      <c r="H42" s="17" t="s">
        <v>20</v>
      </c>
      <c r="I42" s="18" t="s">
        <v>31</v>
      </c>
      <c r="J42" s="21">
        <v>0.4375</v>
      </c>
      <c r="K42" s="21">
        <v>0.64583333333333337</v>
      </c>
      <c r="L42" s="21">
        <v>0.52083333333333337</v>
      </c>
      <c r="M42" s="21">
        <v>0.75</v>
      </c>
      <c r="N42" s="22" t="s">
        <v>22</v>
      </c>
    </row>
    <row r="43" spans="1:14" x14ac:dyDescent="0.25">
      <c r="A43" s="11" t="s">
        <v>80</v>
      </c>
      <c r="B43" s="5" t="s">
        <v>20</v>
      </c>
      <c r="C43" s="5" t="s">
        <v>20</v>
      </c>
      <c r="D43" s="5" t="s">
        <v>15</v>
      </c>
      <c r="E43" s="5" t="s">
        <v>20</v>
      </c>
      <c r="F43" s="5" t="s">
        <v>20</v>
      </c>
      <c r="G43" s="5" t="s">
        <v>15</v>
      </c>
      <c r="H43" s="5" t="s">
        <v>15</v>
      </c>
      <c r="I43" s="6" t="s">
        <v>35</v>
      </c>
      <c r="J43" s="7">
        <v>0.4375</v>
      </c>
      <c r="K43" s="7">
        <v>0.65625</v>
      </c>
      <c r="L43" s="7">
        <v>0.53125</v>
      </c>
      <c r="M43" s="7">
        <v>0.75</v>
      </c>
      <c r="N43" s="8" t="s">
        <v>27</v>
      </c>
    </row>
    <row r="44" spans="1:14" x14ac:dyDescent="0.25">
      <c r="A44" s="11" t="s">
        <v>85</v>
      </c>
      <c r="B44" s="5" t="s">
        <v>20</v>
      </c>
      <c r="C44" s="5" t="s">
        <v>20</v>
      </c>
      <c r="D44" s="5" t="s">
        <v>15</v>
      </c>
      <c r="E44" s="5" t="s">
        <v>20</v>
      </c>
      <c r="F44" s="5" t="s">
        <v>20</v>
      </c>
      <c r="G44" s="5" t="s">
        <v>15</v>
      </c>
      <c r="H44" s="5" t="s">
        <v>15</v>
      </c>
      <c r="I44" s="6" t="s">
        <v>35</v>
      </c>
      <c r="J44" s="7">
        <v>0.42708333333333331</v>
      </c>
      <c r="K44" s="7">
        <v>0.65625</v>
      </c>
      <c r="L44" s="7">
        <v>0.53125</v>
      </c>
      <c r="M44" s="7">
        <v>0.75</v>
      </c>
      <c r="N44" s="8" t="s">
        <v>17</v>
      </c>
    </row>
    <row r="45" spans="1:14" x14ac:dyDescent="0.25">
      <c r="A45" s="11" t="s">
        <v>89</v>
      </c>
      <c r="B45" s="5" t="s">
        <v>20</v>
      </c>
      <c r="C45" s="5" t="s">
        <v>15</v>
      </c>
      <c r="D45" s="5" t="s">
        <v>20</v>
      </c>
      <c r="E45" s="5" t="s">
        <v>20</v>
      </c>
      <c r="F45" s="5" t="s">
        <v>20</v>
      </c>
      <c r="G45" s="5" t="s">
        <v>15</v>
      </c>
      <c r="H45" s="5" t="s">
        <v>15</v>
      </c>
      <c r="I45" s="6" t="s">
        <v>33</v>
      </c>
      <c r="J45" s="7">
        <v>0.41666666666666669</v>
      </c>
      <c r="K45" s="7">
        <v>0.64583333333333337</v>
      </c>
      <c r="L45" s="7">
        <v>0.5</v>
      </c>
      <c r="M45" s="7">
        <v>0.75</v>
      </c>
      <c r="N45" s="8" t="s">
        <v>22</v>
      </c>
    </row>
    <row r="46" spans="1:14" x14ac:dyDescent="0.25">
      <c r="A46" s="11" t="s">
        <v>98</v>
      </c>
      <c r="B46" s="5" t="s">
        <v>20</v>
      </c>
      <c r="C46" s="5" t="s">
        <v>15</v>
      </c>
      <c r="D46" s="5" t="s">
        <v>20</v>
      </c>
      <c r="E46" s="5" t="s">
        <v>20</v>
      </c>
      <c r="F46" s="5" t="s">
        <v>20</v>
      </c>
      <c r="G46" s="5" t="s">
        <v>15</v>
      </c>
      <c r="H46" s="5" t="s">
        <v>15</v>
      </c>
      <c r="I46" s="6" t="s">
        <v>33</v>
      </c>
      <c r="J46" s="7">
        <v>0.42708333333333331</v>
      </c>
      <c r="K46" s="7">
        <v>0.63541666666666663</v>
      </c>
      <c r="L46" s="7">
        <v>0.51041666666666663</v>
      </c>
      <c r="M46" s="7">
        <v>0.73958333333333337</v>
      </c>
      <c r="N46" s="8" t="s">
        <v>17</v>
      </c>
    </row>
    <row r="47" spans="1:14" x14ac:dyDescent="0.25">
      <c r="A47" s="11" t="s">
        <v>100</v>
      </c>
      <c r="B47" s="5" t="s">
        <v>20</v>
      </c>
      <c r="C47" s="5" t="s">
        <v>20</v>
      </c>
      <c r="D47" s="5" t="s">
        <v>15</v>
      </c>
      <c r="E47" s="5" t="s">
        <v>20</v>
      </c>
      <c r="F47" s="5" t="s">
        <v>20</v>
      </c>
      <c r="G47" s="5" t="s">
        <v>15</v>
      </c>
      <c r="H47" s="5" t="s">
        <v>15</v>
      </c>
      <c r="I47" s="6" t="s">
        <v>35</v>
      </c>
      <c r="J47" s="7">
        <v>0.4375</v>
      </c>
      <c r="K47" s="7">
        <v>0.6875</v>
      </c>
      <c r="L47" s="7">
        <v>0.5625</v>
      </c>
      <c r="M47" s="7">
        <v>0.75</v>
      </c>
      <c r="N47" s="8" t="s">
        <v>27</v>
      </c>
    </row>
    <row r="48" spans="1:14" x14ac:dyDescent="0.25">
      <c r="A48" s="11" t="s">
        <v>102</v>
      </c>
      <c r="B48" s="5" t="s">
        <v>20</v>
      </c>
      <c r="C48" s="5" t="s">
        <v>20</v>
      </c>
      <c r="D48" s="5" t="s">
        <v>15</v>
      </c>
      <c r="E48" s="5" t="s">
        <v>20</v>
      </c>
      <c r="F48" s="5" t="s">
        <v>20</v>
      </c>
      <c r="G48" s="5" t="s">
        <v>15</v>
      </c>
      <c r="H48" s="5" t="s">
        <v>15</v>
      </c>
      <c r="I48" s="6" t="s">
        <v>35</v>
      </c>
      <c r="J48" s="7">
        <v>0.41666666666666669</v>
      </c>
      <c r="K48" s="7">
        <v>0.625</v>
      </c>
      <c r="L48" s="7">
        <v>0.5</v>
      </c>
      <c r="M48" s="7">
        <v>0.71875</v>
      </c>
      <c r="N48" s="8" t="s">
        <v>17</v>
      </c>
    </row>
    <row r="49" spans="1:14" x14ac:dyDescent="0.25">
      <c r="A49" s="11" t="s">
        <v>121</v>
      </c>
      <c r="B49" s="5" t="s">
        <v>20</v>
      </c>
      <c r="C49" s="5" t="s">
        <v>15</v>
      </c>
      <c r="D49" s="5" t="s">
        <v>20</v>
      </c>
      <c r="E49" s="5" t="s">
        <v>20</v>
      </c>
      <c r="F49" s="5" t="s">
        <v>20</v>
      </c>
      <c r="G49" s="5" t="s">
        <v>15</v>
      </c>
      <c r="H49" s="5" t="s">
        <v>15</v>
      </c>
      <c r="I49" s="6" t="s">
        <v>33</v>
      </c>
      <c r="J49" s="7">
        <v>0.42708333333333331</v>
      </c>
      <c r="K49" s="7">
        <v>0.64583333333333337</v>
      </c>
      <c r="L49" s="7">
        <v>0.51041666666666663</v>
      </c>
      <c r="M49" s="7">
        <v>0.76041666666666663</v>
      </c>
      <c r="N49" s="8" t="s">
        <v>30</v>
      </c>
    </row>
    <row r="50" spans="1:14" x14ac:dyDescent="0.25">
      <c r="A50" s="11" t="s">
        <v>66</v>
      </c>
      <c r="B50" s="5" t="s">
        <v>23</v>
      </c>
      <c r="C50" s="5" t="s">
        <v>23</v>
      </c>
      <c r="D50" s="5" t="s">
        <v>23</v>
      </c>
      <c r="E50" s="5" t="s">
        <v>23</v>
      </c>
      <c r="F50" s="5" t="s">
        <v>15</v>
      </c>
      <c r="G50" s="5" t="s">
        <v>15</v>
      </c>
      <c r="H50" s="5" t="s">
        <v>15</v>
      </c>
      <c r="I50" s="6" t="s">
        <v>24</v>
      </c>
      <c r="J50" s="7">
        <v>0.38541666666666669</v>
      </c>
      <c r="K50" s="7">
        <v>0.61458333333333337</v>
      </c>
      <c r="L50" s="7">
        <v>0.46875</v>
      </c>
      <c r="M50" s="7">
        <v>0.71875</v>
      </c>
      <c r="N50" s="8" t="s">
        <v>22</v>
      </c>
    </row>
    <row r="51" spans="1:14" x14ac:dyDescent="0.25">
      <c r="A51" s="10" t="s">
        <v>126</v>
      </c>
      <c r="B51" s="1" t="s">
        <v>23</v>
      </c>
      <c r="C51" s="1" t="s">
        <v>23</v>
      </c>
      <c r="D51" s="1" t="s">
        <v>23</v>
      </c>
      <c r="E51" s="1" t="s">
        <v>23</v>
      </c>
      <c r="F51" s="1" t="s">
        <v>15</v>
      </c>
      <c r="G51" s="1" t="s">
        <v>15</v>
      </c>
      <c r="H51" s="1" t="s">
        <v>15</v>
      </c>
      <c r="I51" s="2" t="s">
        <v>24</v>
      </c>
      <c r="J51" s="3">
        <v>0.39583333333333331</v>
      </c>
      <c r="K51" s="3">
        <v>0.60416666666666663</v>
      </c>
      <c r="L51" s="3">
        <v>0.47916666666666669</v>
      </c>
      <c r="M51" s="3">
        <v>0.72916666666666663</v>
      </c>
      <c r="N51" s="4" t="s">
        <v>32</v>
      </c>
    </row>
    <row r="52" spans="1:14" x14ac:dyDescent="0.25">
      <c r="A52" s="16" t="s">
        <v>118</v>
      </c>
      <c r="B52" s="17" t="s">
        <v>62</v>
      </c>
      <c r="C52" s="17" t="s">
        <v>62</v>
      </c>
      <c r="D52" s="17" t="s">
        <v>15</v>
      </c>
      <c r="E52" s="17" t="s">
        <v>15</v>
      </c>
      <c r="F52" s="17" t="s">
        <v>15</v>
      </c>
      <c r="G52" s="17" t="s">
        <v>62</v>
      </c>
      <c r="H52" s="17" t="s">
        <v>62</v>
      </c>
      <c r="I52" s="18" t="s">
        <v>16</v>
      </c>
      <c r="J52" s="21">
        <v>0.36458333333333331</v>
      </c>
      <c r="K52" s="21">
        <v>0.57291666666666663</v>
      </c>
      <c r="L52" s="21">
        <v>0.44791666666666669</v>
      </c>
      <c r="M52" s="21">
        <v>0.67708333333333337</v>
      </c>
      <c r="N52" s="22" t="s">
        <v>27</v>
      </c>
    </row>
    <row r="53" spans="1:14" x14ac:dyDescent="0.25">
      <c r="A53" s="11" t="s">
        <v>120</v>
      </c>
      <c r="B53" s="5" t="s">
        <v>62</v>
      </c>
      <c r="C53" s="5" t="s">
        <v>62</v>
      </c>
      <c r="D53" s="5" t="s">
        <v>62</v>
      </c>
      <c r="E53" s="5" t="s">
        <v>62</v>
      </c>
      <c r="F53" s="5" t="s">
        <v>15</v>
      </c>
      <c r="G53" s="5" t="s">
        <v>15</v>
      </c>
      <c r="H53" s="5" t="s">
        <v>15</v>
      </c>
      <c r="I53" s="6" t="s">
        <v>24</v>
      </c>
      <c r="J53" s="7">
        <v>0.375</v>
      </c>
      <c r="K53" s="7">
        <v>0.47916666666666669</v>
      </c>
      <c r="L53" s="7">
        <v>0.58333333333333337</v>
      </c>
      <c r="M53" s="7">
        <v>0.67708333333333337</v>
      </c>
      <c r="N53" s="8" t="s">
        <v>22</v>
      </c>
    </row>
    <row r="54" spans="1:14" x14ac:dyDescent="0.25">
      <c r="A54" s="30" t="s">
        <v>82</v>
      </c>
      <c r="B54" s="1" t="s">
        <v>42</v>
      </c>
      <c r="C54" s="1" t="s">
        <v>42</v>
      </c>
      <c r="D54" s="1" t="s">
        <v>42</v>
      </c>
      <c r="E54" s="1" t="s">
        <v>42</v>
      </c>
      <c r="F54" s="1" t="s">
        <v>15</v>
      </c>
      <c r="G54" s="1" t="s">
        <v>15</v>
      </c>
      <c r="H54" s="1" t="s">
        <v>15</v>
      </c>
      <c r="I54" s="2" t="s">
        <v>24</v>
      </c>
      <c r="J54" s="3">
        <v>0.34375</v>
      </c>
      <c r="K54" s="3">
        <v>0.5625</v>
      </c>
      <c r="L54" s="3">
        <v>0.4375</v>
      </c>
      <c r="M54" s="3">
        <v>0.65625</v>
      </c>
      <c r="N54" s="12" t="s">
        <v>17</v>
      </c>
    </row>
    <row r="55" spans="1:14" x14ac:dyDescent="0.25">
      <c r="A55" s="16" t="s">
        <v>93</v>
      </c>
      <c r="B55" s="17" t="s">
        <v>42</v>
      </c>
      <c r="C55" s="17" t="s">
        <v>42</v>
      </c>
      <c r="D55" s="17" t="s">
        <v>42</v>
      </c>
      <c r="E55" s="17" t="s">
        <v>42</v>
      </c>
      <c r="F55" s="17" t="s">
        <v>15</v>
      </c>
      <c r="G55" s="17" t="s">
        <v>15</v>
      </c>
      <c r="H55" s="17" t="s">
        <v>15</v>
      </c>
      <c r="I55" s="18" t="s">
        <v>24</v>
      </c>
      <c r="J55" s="21">
        <v>0.33333333333333331</v>
      </c>
      <c r="K55" s="21">
        <v>0.55208333333333337</v>
      </c>
      <c r="L55" s="21">
        <v>0.42708333333333331</v>
      </c>
      <c r="M55" s="21">
        <v>0.64583333333333337</v>
      </c>
      <c r="N55" s="22" t="s">
        <v>17</v>
      </c>
    </row>
    <row r="56" spans="1:14" x14ac:dyDescent="0.25">
      <c r="A56" s="16" t="s">
        <v>83</v>
      </c>
      <c r="B56" s="17" t="s">
        <v>43</v>
      </c>
      <c r="C56" s="17" t="s">
        <v>43</v>
      </c>
      <c r="D56" s="17" t="s">
        <v>43</v>
      </c>
      <c r="E56" s="17" t="s">
        <v>15</v>
      </c>
      <c r="F56" s="17" t="s">
        <v>15</v>
      </c>
      <c r="G56" s="17" t="s">
        <v>15</v>
      </c>
      <c r="H56" s="17" t="s">
        <v>43</v>
      </c>
      <c r="I56" s="18" t="s">
        <v>19</v>
      </c>
      <c r="J56" s="21">
        <v>0.30208333333333331</v>
      </c>
      <c r="K56" s="21">
        <v>0.54166666666666663</v>
      </c>
      <c r="L56" s="21">
        <v>0.41666666666666669</v>
      </c>
      <c r="M56" s="21">
        <v>0.64583333333333337</v>
      </c>
      <c r="N56" s="22" t="s">
        <v>32</v>
      </c>
    </row>
    <row r="57" spans="1:14" x14ac:dyDescent="0.25">
      <c r="A57" s="10" t="s">
        <v>108</v>
      </c>
      <c r="B57" s="1" t="s">
        <v>43</v>
      </c>
      <c r="C57" s="1" t="s">
        <v>43</v>
      </c>
      <c r="D57" s="1" t="s">
        <v>15</v>
      </c>
      <c r="E57" s="1" t="s">
        <v>15</v>
      </c>
      <c r="F57" s="1" t="s">
        <v>15</v>
      </c>
      <c r="G57" s="1" t="s">
        <v>43</v>
      </c>
      <c r="H57" s="1" t="s">
        <v>43</v>
      </c>
      <c r="I57" s="2" t="s">
        <v>16</v>
      </c>
      <c r="J57" s="3">
        <v>0.29166666666666669</v>
      </c>
      <c r="K57" s="3">
        <v>0.51041666666666663</v>
      </c>
      <c r="L57" s="3">
        <v>0.38541666666666669</v>
      </c>
      <c r="M57" s="3">
        <v>0.61458333333333337</v>
      </c>
      <c r="N57" s="4" t="s">
        <v>17</v>
      </c>
    </row>
    <row r="58" spans="1:14" x14ac:dyDescent="0.25">
      <c r="A58" s="10" t="s">
        <v>72</v>
      </c>
      <c r="B58" s="1" t="s">
        <v>34</v>
      </c>
      <c r="C58" s="1" t="s">
        <v>34</v>
      </c>
      <c r="D58" s="1" t="s">
        <v>15</v>
      </c>
      <c r="E58" s="1" t="s">
        <v>34</v>
      </c>
      <c r="F58" s="1" t="s">
        <v>34</v>
      </c>
      <c r="G58" s="1" t="s">
        <v>15</v>
      </c>
      <c r="H58" s="1" t="s">
        <v>15</v>
      </c>
      <c r="I58" s="2" t="s">
        <v>35</v>
      </c>
      <c r="J58" s="3">
        <v>0.19791666666666666</v>
      </c>
      <c r="K58" s="3">
        <v>0.4375</v>
      </c>
      <c r="L58" s="3">
        <v>0.3125</v>
      </c>
      <c r="M58" s="3">
        <v>0.54166666666666663</v>
      </c>
      <c r="N58" s="4" t="s">
        <v>30</v>
      </c>
    </row>
    <row r="59" spans="1:14" x14ac:dyDescent="0.25">
      <c r="A59" s="16" t="s">
        <v>87</v>
      </c>
      <c r="B59" s="17" t="s">
        <v>45</v>
      </c>
      <c r="C59" s="17" t="s">
        <v>45</v>
      </c>
      <c r="D59" s="17" t="s">
        <v>45</v>
      </c>
      <c r="E59" s="17" t="s">
        <v>15</v>
      </c>
      <c r="F59" s="17" t="s">
        <v>15</v>
      </c>
      <c r="G59" s="17" t="s">
        <v>15</v>
      </c>
      <c r="H59" s="17" t="s">
        <v>45</v>
      </c>
      <c r="I59" s="18" t="s">
        <v>19</v>
      </c>
      <c r="J59" s="21">
        <v>0.15625</v>
      </c>
      <c r="K59" s="21">
        <v>0.375</v>
      </c>
      <c r="L59" s="21">
        <v>0.25</v>
      </c>
      <c r="M59" s="21">
        <v>0.47916666666666669</v>
      </c>
      <c r="N59" s="22" t="s">
        <v>32</v>
      </c>
    </row>
    <row r="60" spans="1:14" x14ac:dyDescent="0.25">
      <c r="A60" s="16" t="s">
        <v>63</v>
      </c>
      <c r="B60" s="17" t="s">
        <v>14</v>
      </c>
      <c r="C60" s="17" t="s">
        <v>14</v>
      </c>
      <c r="D60" s="17" t="s">
        <v>15</v>
      </c>
      <c r="E60" s="17" t="s">
        <v>15</v>
      </c>
      <c r="F60" s="17" t="s">
        <v>15</v>
      </c>
      <c r="G60" s="17" t="s">
        <v>14</v>
      </c>
      <c r="H60" s="17" t="s">
        <v>14</v>
      </c>
      <c r="I60" s="18" t="s">
        <v>16</v>
      </c>
      <c r="J60" s="21">
        <v>0.125</v>
      </c>
      <c r="K60" s="21">
        <v>0.35416666666666669</v>
      </c>
      <c r="L60" s="21">
        <v>0.26041666666666669</v>
      </c>
      <c r="M60" s="21">
        <v>0.44791666666666669</v>
      </c>
      <c r="N60" s="22" t="s">
        <v>17</v>
      </c>
    </row>
    <row r="61" spans="1:14" x14ac:dyDescent="0.25">
      <c r="A61" s="10" t="s">
        <v>115</v>
      </c>
      <c r="B61" s="9" t="s">
        <v>58</v>
      </c>
      <c r="C61" s="9" t="s">
        <v>58</v>
      </c>
      <c r="D61" s="1" t="s">
        <v>15</v>
      </c>
      <c r="E61" s="1" t="s">
        <v>15</v>
      </c>
      <c r="F61" s="1" t="s">
        <v>15</v>
      </c>
      <c r="G61" s="9" t="s">
        <v>58</v>
      </c>
      <c r="H61" s="9" t="s">
        <v>58</v>
      </c>
      <c r="I61" s="2" t="s">
        <v>49</v>
      </c>
      <c r="J61" s="9">
        <v>8.3333333333333329E-2</v>
      </c>
      <c r="K61" s="9">
        <v>0.16666666666666666</v>
      </c>
      <c r="L61" s="9">
        <v>0.29166666666666669</v>
      </c>
      <c r="M61" s="9">
        <v>0.41666666666666669</v>
      </c>
      <c r="N61" s="4" t="s">
        <v>59</v>
      </c>
    </row>
  </sheetData>
  <autoFilter ref="A1:N61" xr:uid="{B741E4C5-4AB3-495A-BC0E-EE9A88F70393}">
    <sortState xmlns:xlrd2="http://schemas.microsoft.com/office/spreadsheetml/2017/richdata2" ref="A2:N61">
      <sortCondition descending="1" ref="B1:B61"/>
    </sortState>
  </autoFilter>
  <conditionalFormatting sqref="A2:I61">
    <cfRule type="cellIs" dxfId="4" priority="1" operator="equal">
      <formula>"OFF"</formula>
    </cfRule>
  </conditionalFormatting>
  <conditionalFormatting sqref="I57:I58">
    <cfRule type="cellIs" dxfId="3" priority="2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N59"/>
  <sheetViews>
    <sheetView workbookViewId="0">
      <selection activeCell="H36" sqref="H36"/>
    </sheetView>
  </sheetViews>
  <sheetFormatPr defaultRowHeight="15" x14ac:dyDescent="0.25"/>
  <cols>
    <col min="1" max="1" width="30.28515625" customWidth="1"/>
    <col min="2" max="8" width="13.140625" customWidth="1"/>
    <col min="9" max="9" width="20.140625" bestFit="1" customWidth="1"/>
  </cols>
  <sheetData>
    <row r="1" spans="1:14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  <row r="2" spans="1:14" x14ac:dyDescent="0.25">
      <c r="A2" t="str">
        <f>EST!A2</f>
        <v>AYSHA SAGIRA MACALANDONG</v>
      </c>
      <c r="B2" t="str">
        <f>IFERROR(IF(EST!H2="OFF",
IF(EST!B2="OFF","OFF",
IF(VALUE(LEFT(EST!B2,2))&lt;12,
TEXT(TIMEVALUE(_xlfn.TEXTBEFORE(EST!B2," - "))+TIME(12,0,0),"hh:mm")
&amp;" - "&amp;
TEXT(TIMEVALUE(_xlfn.TEXTAFTER(EST!B2," - "))+TIME(12,0,0),"hh:mm"),
"OFF")),
IF(VALUE(LEFT(EST!H2,2))&gt;=12,
TEXT(TIMEVALUE(_xlfn.TEXTBEFORE(EST!H2," - "))+TIME(12,0,0),"hh:mm")
&amp;" - "&amp;
TEXT(TIMEVALUE(_xlfn.TEXTAFTER(EST!H2," - "))+TIME(12,0,0),"hh:mm"),
"OFF")),"OFF")</f>
        <v>08:00 - 19:00</v>
      </c>
      <c r="C2" t="str">
        <f>IFERROR(IF(AND(EST!B2&lt;&gt;"OFF",VALUE(LEFT(EST!B2,2))&gt;=12),
TEXT(TIMEVALUE(_xlfn.TEXTBEFORE(EST!B2," - "))+TIME(12,0,0),"hh:mm")
&amp; " - " &amp;
TEXT(TIMEVALUE(_xlfn.TEXTAFTER(EST!B2," - "))+TIME(12,0,0),"hh:mm"),
IF(AND(EST!C2&lt;&gt;"OFF",VALUE(LEFT(EST!C2,2))&lt;12),
TEXT(TIMEVALUE(_xlfn.TEXTBEFORE(EST!C2," - "))+TIME(12,0,0),"hh:mm")
&amp; " - " &amp;
TEXT(TIMEVALUE(_xlfn.TEXTAFTER(EST!C2," - "))+TIME(12,0,0),"hh:mm"),
"OFF")),"OFF")</f>
        <v>OFF</v>
      </c>
      <c r="D2" t="str">
        <f>IFERROR(IF(AND(EST!C2&lt;&gt;"OFF",VALUE(LEFT(EST!C2,2))&gt;=12),
TEXT(TIMEVALUE(_xlfn.TEXTBEFORE(EST!C2," - "))+TIME(12,0,0),"hh:mm")
&amp; " - " &amp;
TEXT(TIMEVALUE(_xlfn.TEXTAFTER(EST!C2," - "))+TIME(12,0,0),"hh:mm"),
IF(AND(EST!D2&lt;&gt;"OFF",VALUE(LEFT(EST!D2,2))&lt;12),
TEXT(TIMEVALUE(_xlfn.TEXTBEFORE(EST!D2," - "))+TIME(12,0,0),"hh:mm")
&amp; " - " &amp;
TEXT(TIMEVALUE(_xlfn.TEXTAFTER(EST!D2," - "))+TIME(12,0,0),"hh:mm"),
"OFF")),"OFF")</f>
        <v>OFF</v>
      </c>
      <c r="E2" t="str">
        <f>IFERROR(IF(AND(EST!D2&lt;&gt;"OFF",VALUE(LEFT(EST!D2,2))&gt;=12),
TEXT(TIMEVALUE(_xlfn.TEXTBEFORE(EST!D2," - "))+TIME(12,0,0),"hh:mm")
&amp; " - " &amp;
TEXT(TIMEVALUE(_xlfn.TEXTAFTER(EST!D2," - "))+TIME(12,0,0),"hh:mm"),
IF(AND(EST!E2&lt;&gt;"OFF",VALUE(LEFT(EST!E2,2))&lt;12),
TEXT(TIMEVALUE(_xlfn.TEXTBEFORE(EST!E2," - "))+TIME(12,0,0),"hh:mm")
&amp; " - " &amp;
TEXT(TIMEVALUE(_xlfn.TEXTAFTER(EST!E2," - "))+TIME(12,0,0),"hh:mm"),
"OFF")),"OFF")</f>
        <v>OFF</v>
      </c>
      <c r="F2" t="str">
        <f>IFERROR(IF(EST!E2="OFF",
IF(EST!F2="OFF","OFF",
IF(VALUE(LEFT(EST!F2,2))&lt;12,
TEXT(TIMEVALUE(_xlfn.TEXTBEFORE(EST!F2," - "))+TIME(12,0,0),"hh:mm")
&amp; " - " &amp;
TEXT(TIMEVALUE(_xlfn.TEXTAFTER(EST!F2," - "))+TIME(12,0,0),"hh:mm"),
"OFF")),
TEXT(TIMEVALUE(_xlfn.TEXTBEFORE(EST!E2," - "))+TIME(12,0,0),"hh:mm")
&amp; " - " &amp;
TEXT(TIMEVALUE(_xlfn.TEXTAFTER(EST!E2," - "))+TIME(12,0,0),"hh:mm")),"OFF")</f>
        <v>08:00 - 19:00</v>
      </c>
      <c r="G2" t="str">
        <f>IFERROR(IF(EST!F2="OFF",
IF(EST!G2="OFF","OFF",
IF(VALUE(LEFT(EST!G2,2))&lt;12,
TEXT(TIMEVALUE(_xlfn.TEXTBEFORE(EST!G2," - "))+TIME(12,0,0),"hh:mm")
&amp; " - " &amp;
TEXT(TIMEVALUE(_xlfn.TEXTAFTER(EST!G2," - "))+TIME(12,0,0),"hh:mm"),
"OFF")),
TEXT(TIMEVALUE(_xlfn.TEXTBEFORE(EST!F2," - "))+TIME(12,0,0),"hh:mm")
&amp; " - " &amp;
TEXT(TIMEVALUE(_xlfn.TEXTAFTER(EST!F2," - "))+TIME(12,0,0),"hh:mm")),"OFF")</f>
        <v>08:00 - 19:00</v>
      </c>
      <c r="H2" t="str">
        <f>IFERROR(IF(EST!G2="OFF",
IF(EST!H2="OFF","OFF",
IF(VALUE(LEFT(EST!H2,2))&lt;12,
TEXT(TIMEVALUE(_xlfn.TEXTBEFORE(EST!H2," - "))+TIME(12,0,0),"hh:mm")
&amp; " - " &amp;
TEXT(TIMEVALUE(_xlfn.TEXTAFTER(EST!H2," - "))+TIME(12,0,0),"hh:mm"),
"OFF")),
TEXT(TIMEVALUE(_xlfn.TEXTBEFORE(EST!G2," - "))+TIME(12,0,0),"hh:mm")
&amp; " - " &amp;
TEXT(TIMEVALUE(_xlfn.TEXTAFTER(EST!G2," - "))+TIME(12,0,0),"hh:mm")),"OFF")</f>
        <v>08:00 - 19:00</v>
      </c>
      <c r="I2" t="str">
        <f>_xlfn.TEXTJOIN(" - ",TRUE,
IF(B2="OFF","Mon",""),
IF(C2="OFF","Tue",""),
IF(D2="OFF","Wed",""),
IF(E2="OFF","Thu",""),
IF(F2="OFF","Fri",""),
IF(G2="OFF","Sat",""),
IF(H2="OFF","Sun",""))</f>
        <v>Tue - Wed - Thu</v>
      </c>
      <c r="J2" s="38">
        <f>MOD(EST!J2+TIME(12,0,0),1)</f>
        <v>0.42708333333333348</v>
      </c>
      <c r="K2" s="38">
        <f>MOD(EST!K2+TIME(12,0,0),1)</f>
        <v>0.51041666666666663</v>
      </c>
      <c r="L2" s="38">
        <f>MOD(EST!L2+TIME(12,0,0),1)</f>
        <v>0.6875</v>
      </c>
      <c r="M2" s="38">
        <f>MOD(EST!M2+TIME(12,0,0),1)</f>
        <v>0.60416666666666663</v>
      </c>
      <c r="N2" t="str">
        <f>EST!N2</f>
        <v>Michael Dominguez</v>
      </c>
    </row>
    <row r="3" spans="1:14" x14ac:dyDescent="0.25">
      <c r="A3" t="str">
        <f>EST!A3</f>
        <v>CHRISTIAN LAJERA</v>
      </c>
      <c r="B3" t="str">
        <f>IFERROR(IF(EST!H3="OFF",
IF(EST!B3="OFF","OFF",
IF(VALUE(LEFT(EST!B3,2))&lt;12,
TEXT(TIMEVALUE(_xlfn.TEXTBEFORE(EST!B3," - "))+TIME(12,0,0),"hh:mm")
&amp;" - "&amp;
TEXT(TIMEVALUE(_xlfn.TEXTAFTER(EST!B3," - "))+TIME(12,0,0),"hh:mm"),
"OFF")),
IF(VALUE(LEFT(EST!H3,2))&gt;=12,
TEXT(TIMEVALUE(_xlfn.TEXTBEFORE(EST!H3," - "))+TIME(12,0,0),"hh:mm")
&amp;" - "&amp;
TEXT(TIMEVALUE(_xlfn.TEXTAFTER(EST!H3," - "))+TIME(12,0,0),"hh:mm"),
"OFF")),"OFF")</f>
        <v>OFF</v>
      </c>
      <c r="C3" t="str">
        <f>IFERROR(IF(AND(EST!B3&lt;&gt;"OFF",VALUE(LEFT(EST!B3,2))&gt;=12),
TEXT(TIMEVALUE(_xlfn.TEXTBEFORE(EST!B3," - "))+TIME(12,0,0),"hh:mm")
&amp; " - " &amp;
TEXT(TIMEVALUE(_xlfn.TEXTAFTER(EST!B3," - "))+TIME(12,0,0),"hh:mm"),
IF(AND(EST!C3&lt;&gt;"OFF",VALUE(LEFT(EST!C3,2))&lt;12),
TEXT(TIMEVALUE(_xlfn.TEXTBEFORE(EST!C3," - "))+TIME(12,0,0),"hh:mm")
&amp; " - " &amp;
TEXT(TIMEVALUE(_xlfn.TEXTAFTER(EST!C3," - "))+TIME(12,0,0),"hh:mm"),
"OFF")),"OFF")</f>
        <v>OFF</v>
      </c>
      <c r="D3" t="str">
        <f>IFERROR(IF(AND(EST!C3&lt;&gt;"OFF",VALUE(LEFT(EST!C3,2))&gt;=12),
TEXT(TIMEVALUE(_xlfn.TEXTBEFORE(EST!C3," - "))+TIME(12,0,0),"hh:mm")
&amp; " - " &amp;
TEXT(TIMEVALUE(_xlfn.TEXTAFTER(EST!C3," - "))+TIME(12,0,0),"hh:mm"),
IF(AND(EST!D3&lt;&gt;"OFF",VALUE(LEFT(EST!D3,2))&lt;12),
TEXT(TIMEVALUE(_xlfn.TEXTBEFORE(EST!D3," - "))+TIME(12,0,0),"hh:mm")
&amp; " - " &amp;
TEXT(TIMEVALUE(_xlfn.TEXTAFTER(EST!D3," - "))+TIME(12,0,0),"hh:mm"),
"OFF")),"OFF")</f>
        <v>21:00 - 08:00</v>
      </c>
      <c r="E3" t="str">
        <f>IFERROR(IF(AND(EST!D3&lt;&gt;"OFF",VALUE(LEFT(EST!D3,2))&gt;=12),
TEXT(TIMEVALUE(_xlfn.TEXTBEFORE(EST!D3," - "))+TIME(12,0,0),"hh:mm")
&amp; " - " &amp;
TEXT(TIMEVALUE(_xlfn.TEXTAFTER(EST!D3," - "))+TIME(12,0,0),"hh:mm"),
IF(AND(EST!E3&lt;&gt;"OFF",VALUE(LEFT(EST!E3,2))&lt;12),
TEXT(TIMEVALUE(_xlfn.TEXTBEFORE(EST!E3," - "))+TIME(12,0,0),"hh:mm")
&amp; " - " &amp;
TEXT(TIMEVALUE(_xlfn.TEXTAFTER(EST!E3," - "))+TIME(12,0,0),"hh:mm"),
"OFF")),"OFF")</f>
        <v>21:00 - 08:00</v>
      </c>
      <c r="F3" t="str">
        <f>IFERROR(IF(EST!E3="OFF",
IF(EST!F3="OFF","OFF",
IF(VALUE(LEFT(EST!F3,2))&lt;12,
TEXT(TIMEVALUE(_xlfn.TEXTBEFORE(EST!F3," - "))+TIME(12,0,0),"hh:mm")
&amp; " - " &amp;
TEXT(TIMEVALUE(_xlfn.TEXTAFTER(EST!F3," - "))+TIME(12,0,0),"hh:mm"),
"OFF")),
TEXT(TIMEVALUE(_xlfn.TEXTBEFORE(EST!E3," - "))+TIME(12,0,0),"hh:mm")
&amp; " - " &amp;
TEXT(TIMEVALUE(_xlfn.TEXTAFTER(EST!E3," - "))+TIME(12,0,0),"hh:mm")),"OFF")</f>
        <v>21:00 - 08:00</v>
      </c>
      <c r="G3" t="str">
        <f>IFERROR(IF(EST!F3="OFF",
IF(EST!G3="OFF","OFF",
IF(VALUE(LEFT(EST!G3,2))&lt;12,
TEXT(TIMEVALUE(_xlfn.TEXTBEFORE(EST!G3," - "))+TIME(12,0,0),"hh:mm")
&amp; " - " &amp;
TEXT(TIMEVALUE(_xlfn.TEXTAFTER(EST!G3," - "))+TIME(12,0,0),"hh:mm"),
"OFF")),
TEXT(TIMEVALUE(_xlfn.TEXTBEFORE(EST!F3," - "))+TIME(12,0,0),"hh:mm")
&amp; " - " &amp;
TEXT(TIMEVALUE(_xlfn.TEXTAFTER(EST!F3," - "))+TIME(12,0,0),"hh:mm")),"OFF")</f>
        <v>21:00 - 08:00</v>
      </c>
      <c r="H3" t="str">
        <f>IFERROR(IF(EST!G3="OFF",
IF(EST!H3="OFF","OFF",
IF(VALUE(LEFT(EST!H3,2))&lt;12,
TEXT(TIMEVALUE(_xlfn.TEXTBEFORE(EST!H3," - "))+TIME(12,0,0),"hh:mm")
&amp; " - " &amp;
TEXT(TIMEVALUE(_xlfn.TEXTAFTER(EST!H3," - "))+TIME(12,0,0),"hh:mm"),
"OFF")),
TEXT(TIMEVALUE(_xlfn.TEXTBEFORE(EST!G3," - "))+TIME(12,0,0),"hh:mm")
&amp; " - " &amp;
TEXT(TIMEVALUE(_xlfn.TEXTAFTER(EST!G3," - "))+TIME(12,0,0),"hh:mm")),"OFF")</f>
        <v>OFF</v>
      </c>
      <c r="I3" t="str">
        <f t="shared" ref="I3:I18" si="0">_xlfn.TEXTJOIN(" - ",TRUE,
IF(B3="OFF","Mon",""),
IF(C3="OFF","Tue",""),
IF(D3="OFF","Wed",""),
IF(E3="OFF","Thu",""),
IF(F3="OFF","Fri",""),
IF(G3="OFF","Sat",""),
IF(H3="OFF","Sun",""))</f>
        <v>Mon - Tue - Sun</v>
      </c>
      <c r="J3" s="38">
        <f>MOD(EST!J3+TIME(12,0,0),1)</f>
        <v>0.95833333333333326</v>
      </c>
      <c r="K3" s="38">
        <f>MOD(EST!K3+TIME(12,0,0),1)</f>
        <v>4.1666666666666519E-2</v>
      </c>
      <c r="L3" s="38">
        <f>MOD(EST!L3+TIME(12,0,0),1)</f>
        <v>0.14583333333333348</v>
      </c>
      <c r="M3" s="38">
        <f>MOD(EST!M3+TIME(12,0,0),1)</f>
        <v>0.26041666666666652</v>
      </c>
      <c r="N3" t="str">
        <f>EST!N3</f>
        <v>Michael Dominguez</v>
      </c>
    </row>
    <row r="4" spans="1:14" x14ac:dyDescent="0.25">
      <c r="A4" t="str">
        <f>EST!A4</f>
        <v>CYNTHIA ANOSA</v>
      </c>
      <c r="B4" t="str">
        <f>IFERROR(IF(EST!H4="OFF",
IF(EST!B4="OFF","OFF",
IF(VALUE(LEFT(EST!B4,2))&lt;12,
TEXT(TIMEVALUE(_xlfn.TEXTBEFORE(EST!B4," - "))+TIME(12,0,0),"hh:mm")
&amp;" - "&amp;
TEXT(TIMEVALUE(_xlfn.TEXTAFTER(EST!B4," - "))+TIME(12,0,0),"hh:mm"),
"OFF")),
IF(VALUE(LEFT(EST!H4,2))&gt;=12,
TEXT(TIMEVALUE(_xlfn.TEXTBEFORE(EST!H4," - "))+TIME(12,0,0),"hh:mm")
&amp;" - "&amp;
TEXT(TIMEVALUE(_xlfn.TEXTAFTER(EST!H4," - "))+TIME(12,0,0),"hh:mm"),
"OFF")),"OFF")</f>
        <v>OFF</v>
      </c>
      <c r="C4" t="str">
        <f>IFERROR(IF(AND(EST!B4&lt;&gt;"OFF",VALUE(LEFT(EST!B4,2))&gt;=12),
TEXT(TIMEVALUE(_xlfn.TEXTBEFORE(EST!B4," - "))+TIME(12,0,0),"hh:mm")
&amp; " - " &amp;
TEXT(TIMEVALUE(_xlfn.TEXTAFTER(EST!B4," - "))+TIME(12,0,0),"hh:mm"),
IF(AND(EST!C4&lt;&gt;"OFF",VALUE(LEFT(EST!C4,2))&lt;12),
TEXT(TIMEVALUE(_xlfn.TEXTBEFORE(EST!C4," - "))+TIME(12,0,0),"hh:mm")
&amp; " - " &amp;
TEXT(TIMEVALUE(_xlfn.TEXTAFTER(EST!C4," - "))+TIME(12,0,0),"hh:mm"),
"OFF")),"OFF")</f>
        <v>OFF</v>
      </c>
      <c r="D4" t="str">
        <f>IFERROR(IF(AND(EST!C4&lt;&gt;"OFF",VALUE(LEFT(EST!C4,2))&gt;=12),
TEXT(TIMEVALUE(_xlfn.TEXTBEFORE(EST!C4," - "))+TIME(12,0,0),"hh:mm")
&amp; " - " &amp;
TEXT(TIMEVALUE(_xlfn.TEXTAFTER(EST!C4," - "))+TIME(12,0,0),"hh:mm"),
IF(AND(EST!D4&lt;&gt;"OFF",VALUE(LEFT(EST!D4,2))&lt;12),
TEXT(TIMEVALUE(_xlfn.TEXTBEFORE(EST!D4," - "))+TIME(12,0,0),"hh:mm")
&amp; " - " &amp;
TEXT(TIMEVALUE(_xlfn.TEXTAFTER(EST!D4," - "))+TIME(12,0,0),"hh:mm"),
"OFF")),"OFF")</f>
        <v>16:00 - 03:00</v>
      </c>
      <c r="E4" t="str">
        <f>IFERROR(IF(AND(EST!D4&lt;&gt;"OFF",VALUE(LEFT(EST!D4,2))&gt;=12),
TEXT(TIMEVALUE(_xlfn.TEXTBEFORE(EST!D4," - "))+TIME(12,0,0),"hh:mm")
&amp; " - " &amp;
TEXT(TIMEVALUE(_xlfn.TEXTAFTER(EST!D4," - "))+TIME(12,0,0),"hh:mm"),
IF(AND(EST!E4&lt;&gt;"OFF",VALUE(LEFT(EST!E4,2))&lt;12),
TEXT(TIMEVALUE(_xlfn.TEXTBEFORE(EST!E4," - "))+TIME(12,0,0),"hh:mm")
&amp; " - " &amp;
TEXT(TIMEVALUE(_xlfn.TEXTAFTER(EST!E4," - "))+TIME(12,0,0),"hh:mm"),
"OFF")),"OFF")</f>
        <v>16:00 - 03:00</v>
      </c>
      <c r="F4" t="str">
        <f>IFERROR(IF(EST!E4="OFF",
IF(EST!F4="OFF","OFF",
IF(VALUE(LEFT(EST!F4,2))&lt;12,
TEXT(TIMEVALUE(_xlfn.TEXTBEFORE(EST!F4," - "))+TIME(12,0,0),"hh:mm")
&amp; " - " &amp;
TEXT(TIMEVALUE(_xlfn.TEXTAFTER(EST!F4," - "))+TIME(12,0,0),"hh:mm"),
"OFF")),
TEXT(TIMEVALUE(_xlfn.TEXTBEFORE(EST!E4," - "))+TIME(12,0,0),"hh:mm")
&amp; " - " &amp;
TEXT(TIMEVALUE(_xlfn.TEXTAFTER(EST!E4," - "))+TIME(12,0,0),"hh:mm")),"OFF")</f>
        <v>16:00 - 03:00</v>
      </c>
      <c r="G4" t="str">
        <f>IFERROR(IF(EST!F4="OFF",
IF(EST!G4="OFF","OFF",
IF(VALUE(LEFT(EST!G4,2))&lt;12,
TEXT(TIMEVALUE(_xlfn.TEXTBEFORE(EST!G4," - "))+TIME(12,0,0),"hh:mm")
&amp; " - " &amp;
TEXT(TIMEVALUE(_xlfn.TEXTAFTER(EST!G4," - "))+TIME(12,0,0),"hh:mm"),
"OFF")),
TEXT(TIMEVALUE(_xlfn.TEXTBEFORE(EST!F4," - "))+TIME(12,0,0),"hh:mm")
&amp; " - " &amp;
TEXT(TIMEVALUE(_xlfn.TEXTAFTER(EST!F4," - "))+TIME(12,0,0),"hh:mm")),"OFF")</f>
        <v>16:00 - 03:00</v>
      </c>
      <c r="H4" t="str">
        <f>IFERROR(IF(EST!G4="OFF",
IF(EST!H4="OFF","OFF",
IF(VALUE(LEFT(EST!H4,2))&lt;12,
TEXT(TIMEVALUE(_xlfn.TEXTBEFORE(EST!H4," - "))+TIME(12,0,0),"hh:mm")
&amp; " - " &amp;
TEXT(TIMEVALUE(_xlfn.TEXTAFTER(EST!H4," - "))+TIME(12,0,0),"hh:mm"),
"OFF")),
TEXT(TIMEVALUE(_xlfn.TEXTBEFORE(EST!G4," - "))+TIME(12,0,0),"hh:mm")
&amp; " - " &amp;
TEXT(TIMEVALUE(_xlfn.TEXTAFTER(EST!G4," - "))+TIME(12,0,0),"hh:mm")),"OFF")</f>
        <v>OFF</v>
      </c>
      <c r="I4" t="str">
        <f t="shared" si="0"/>
        <v>Mon - Tue - Sun</v>
      </c>
      <c r="J4" s="38">
        <f>MOD(EST!J4+TIME(12,0,0),1)</f>
        <v>0.73958333333333337</v>
      </c>
      <c r="K4" s="38">
        <f>MOD(EST!K4+TIME(12,0,0),1)</f>
        <v>2.0833333333333481E-2</v>
      </c>
      <c r="L4" s="38">
        <f>MOD(EST!L4+TIME(12,0,0),1)</f>
        <v>0.85416666666666674</v>
      </c>
      <c r="M4" s="38">
        <f>MOD(EST!M4+TIME(12,0,0),1)</f>
        <v>8.3333333333333481E-2</v>
      </c>
      <c r="N4" t="str">
        <f>EST!N4</f>
        <v>Manilyn Abellar</v>
      </c>
    </row>
    <row r="5" spans="1:14" x14ac:dyDescent="0.25">
      <c r="A5" t="str">
        <f>EST!A5</f>
        <v>JHANELLE DIDATO</v>
      </c>
      <c r="B5" t="str">
        <f>IFERROR(IF(EST!H5="OFF",
IF(EST!B5="OFF","OFF",
IF(VALUE(LEFT(EST!B5,2))&lt;12,
TEXT(TIMEVALUE(_xlfn.TEXTBEFORE(EST!B5," - "))+TIME(12,0,0),"hh:mm")
&amp;" - "&amp;
TEXT(TIMEVALUE(_xlfn.TEXTAFTER(EST!B5," - "))+TIME(12,0,0),"hh:mm"),
"OFF")),
IF(VALUE(LEFT(EST!H5,2))&gt;=12,
TEXT(TIMEVALUE(_xlfn.TEXTBEFORE(EST!H5," - "))+TIME(12,0,0),"hh:mm")
&amp;" - "&amp;
TEXT(TIMEVALUE(_xlfn.TEXTAFTER(EST!H5," - "))+TIME(12,0,0),"hh:mm"),
"OFF")),"OFF")</f>
        <v>OFF</v>
      </c>
      <c r="C5" t="str">
        <f>IFERROR(IF(AND(EST!B5&lt;&gt;"OFF",VALUE(LEFT(EST!B5,2))&gt;=12),
TEXT(TIMEVALUE(_xlfn.TEXTBEFORE(EST!B5," - "))+TIME(12,0,0),"hh:mm")
&amp; " - " &amp;
TEXT(TIMEVALUE(_xlfn.TEXTAFTER(EST!B5," - "))+TIME(12,0,0),"hh:mm"),
IF(AND(EST!C5&lt;&gt;"OFF",VALUE(LEFT(EST!C5,2))&lt;12),
TEXT(TIMEVALUE(_xlfn.TEXTBEFORE(EST!C5," - "))+TIME(12,0,0),"hh:mm")
&amp; " - " &amp;
TEXT(TIMEVALUE(_xlfn.TEXTAFTER(EST!C5," - "))+TIME(12,0,0),"hh:mm"),
"OFF")),"OFF")</f>
        <v>OFF</v>
      </c>
      <c r="D5" t="str">
        <f>IFERROR(IF(AND(EST!C5&lt;&gt;"OFF",VALUE(LEFT(EST!C5,2))&gt;=12),
TEXT(TIMEVALUE(_xlfn.TEXTBEFORE(EST!C5," - "))+TIME(12,0,0),"hh:mm")
&amp; " - " &amp;
TEXT(TIMEVALUE(_xlfn.TEXTAFTER(EST!C5," - "))+TIME(12,0,0),"hh:mm"),
IF(AND(EST!D5&lt;&gt;"OFF",VALUE(LEFT(EST!D5,2))&lt;12),
TEXT(TIMEVALUE(_xlfn.TEXTBEFORE(EST!D5," - "))+TIME(12,0,0),"hh:mm")
&amp; " - " &amp;
TEXT(TIMEVALUE(_xlfn.TEXTAFTER(EST!D5," - "))+TIME(12,0,0),"hh:mm"),
"OFF")),"OFF")</f>
        <v>OFF</v>
      </c>
      <c r="E5" t="str">
        <f>IFERROR(IF(AND(EST!D5&lt;&gt;"OFF",VALUE(LEFT(EST!D5,2))&gt;=12),
TEXT(TIMEVALUE(_xlfn.TEXTBEFORE(EST!D5," - "))+TIME(12,0,0),"hh:mm")
&amp; " - " &amp;
TEXT(TIMEVALUE(_xlfn.TEXTAFTER(EST!D5," - "))+TIME(12,0,0),"hh:mm"),
IF(AND(EST!E5&lt;&gt;"OFF",VALUE(LEFT(EST!E5,2))&lt;12),
TEXT(TIMEVALUE(_xlfn.TEXTBEFORE(EST!E5," - "))+TIME(12,0,0),"hh:mm")
&amp; " - " &amp;
TEXT(TIMEVALUE(_xlfn.TEXTAFTER(EST!E5," - "))+TIME(12,0,0),"hh:mm"),
"OFF")),"OFF")</f>
        <v>00:00 - 11:00</v>
      </c>
      <c r="F5" t="str">
        <f>IFERROR(IF(EST!E5="OFF",
IF(EST!F5="OFF","OFF",
IF(VALUE(LEFT(EST!F5,2))&lt;12,
TEXT(TIMEVALUE(_xlfn.TEXTBEFORE(EST!F5," - "))+TIME(12,0,0),"hh:mm")
&amp; " - " &amp;
TEXT(TIMEVALUE(_xlfn.TEXTAFTER(EST!F5," - "))+TIME(12,0,0),"hh:mm"),
"OFF")),
TEXT(TIMEVALUE(_xlfn.TEXTBEFORE(EST!E5," - "))+TIME(12,0,0),"hh:mm")
&amp; " - " &amp;
TEXT(TIMEVALUE(_xlfn.TEXTAFTER(EST!E5," - "))+TIME(12,0,0),"hh:mm")),"OFF")</f>
        <v>00:00 - 11:00</v>
      </c>
      <c r="G5" t="str">
        <f>IFERROR(IF(EST!F5="OFF",
IF(EST!G5="OFF","OFF",
IF(VALUE(LEFT(EST!G5,2))&lt;12,
TEXT(TIMEVALUE(_xlfn.TEXTBEFORE(EST!G5," - "))+TIME(12,0,0),"hh:mm")
&amp; " - " &amp;
TEXT(TIMEVALUE(_xlfn.TEXTAFTER(EST!G5," - "))+TIME(12,0,0),"hh:mm"),
"OFF")),
TEXT(TIMEVALUE(_xlfn.TEXTBEFORE(EST!F5," - "))+TIME(12,0,0),"hh:mm")
&amp; " - " &amp;
TEXT(TIMEVALUE(_xlfn.TEXTAFTER(EST!F5," - "))+TIME(12,0,0),"hh:mm")),"OFF")</f>
        <v>00:00 - 11:00</v>
      </c>
      <c r="H5" t="str">
        <f>IFERROR(IF(EST!G5="OFF",
IF(EST!H5="OFF","OFF",
IF(VALUE(LEFT(EST!H5,2))&lt;12,
TEXT(TIMEVALUE(_xlfn.TEXTBEFORE(EST!H5," - "))+TIME(12,0,0),"hh:mm")
&amp; " - " &amp;
TEXT(TIMEVALUE(_xlfn.TEXTAFTER(EST!H5," - "))+TIME(12,0,0),"hh:mm"),
"OFF")),
TEXT(TIMEVALUE(_xlfn.TEXTBEFORE(EST!G5," - "))+TIME(12,0,0),"hh:mm")
&amp; " - " &amp;
TEXT(TIMEVALUE(_xlfn.TEXTAFTER(EST!G5," - "))+TIME(12,0,0),"hh:mm")),"OFF")</f>
        <v>00:00 - 11:00</v>
      </c>
      <c r="I5" t="str">
        <f t="shared" si="0"/>
        <v>Mon - Tue - Wed</v>
      </c>
      <c r="J5" s="38">
        <f>MOD(EST!J5+TIME(12,0,0),1)</f>
        <v>8.3333333333333481E-2</v>
      </c>
      <c r="K5" s="38">
        <f>MOD(EST!K5+TIME(12,0,0),1)</f>
        <v>0.3125</v>
      </c>
      <c r="L5" s="38">
        <f>MOD(EST!L5+TIME(12,0,0),1)</f>
        <v>0.17708333333333348</v>
      </c>
      <c r="M5" s="38">
        <f>MOD(EST!M5+TIME(12,0,0),1)</f>
        <v>0.41666666666666652</v>
      </c>
      <c r="N5" t="str">
        <f>EST!N5</f>
        <v>Manilyn Abellar</v>
      </c>
    </row>
    <row r="6" spans="1:14" x14ac:dyDescent="0.25">
      <c r="A6" t="str">
        <f>EST!A6</f>
        <v>JHONREY JOTOJOT</v>
      </c>
      <c r="B6" t="str">
        <f>IFERROR(IF(EST!H6="OFF",
IF(EST!B6="OFF","OFF",
IF(VALUE(LEFT(EST!B6,2))&lt;12,
TEXT(TIMEVALUE(_xlfn.TEXTBEFORE(EST!B6," - "))+TIME(12,0,0),"hh:mm")
&amp;" - "&amp;
TEXT(TIMEVALUE(_xlfn.TEXTAFTER(EST!B6," - "))+TIME(12,0,0),"hh:mm"),
"OFF")),
IF(VALUE(LEFT(EST!H6,2))&gt;=12,
TEXT(TIMEVALUE(_xlfn.TEXTBEFORE(EST!H6," - "))+TIME(12,0,0),"hh:mm")
&amp;" - "&amp;
TEXT(TIMEVALUE(_xlfn.TEXTAFTER(EST!H6," - "))+TIME(12,0,0),"hh:mm"),
"OFF")),"OFF")</f>
        <v>OFF</v>
      </c>
      <c r="C6" t="str">
        <f>IFERROR(IF(AND(EST!B6&lt;&gt;"OFF",VALUE(LEFT(EST!B6,2))&gt;=12),
TEXT(TIMEVALUE(_xlfn.TEXTBEFORE(EST!B6," - "))+TIME(12,0,0),"hh:mm")
&amp; " - " &amp;
TEXT(TIMEVALUE(_xlfn.TEXTAFTER(EST!B6," - "))+TIME(12,0,0),"hh:mm"),
IF(AND(EST!C6&lt;&gt;"OFF",VALUE(LEFT(EST!C6,2))&lt;12),
TEXT(TIMEVALUE(_xlfn.TEXTBEFORE(EST!C6," - "))+TIME(12,0,0),"hh:mm")
&amp; " - " &amp;
TEXT(TIMEVALUE(_xlfn.TEXTAFTER(EST!C6," - "))+TIME(12,0,0),"hh:mm"),
"OFF")),"OFF")</f>
        <v>OFF</v>
      </c>
      <c r="D6" t="str">
        <f>IFERROR(IF(AND(EST!C6&lt;&gt;"OFF",VALUE(LEFT(EST!C6,2))&gt;=12),
TEXT(TIMEVALUE(_xlfn.TEXTBEFORE(EST!C6," - "))+TIME(12,0,0),"hh:mm")
&amp; " - " &amp;
TEXT(TIMEVALUE(_xlfn.TEXTAFTER(EST!C6," - "))+TIME(12,0,0),"hh:mm"),
IF(AND(EST!D6&lt;&gt;"OFF",VALUE(LEFT(EST!D6,2))&lt;12),
TEXT(TIMEVALUE(_xlfn.TEXTBEFORE(EST!D6," - "))+TIME(12,0,0),"hh:mm")
&amp; " - " &amp;
TEXT(TIMEVALUE(_xlfn.TEXTAFTER(EST!D6," - "))+TIME(12,0,0),"hh:mm"),
"OFF")),"OFF")</f>
        <v>17:00 - 04:00</v>
      </c>
      <c r="E6" t="str">
        <f>IFERROR(IF(AND(EST!D6&lt;&gt;"OFF",VALUE(LEFT(EST!D6,2))&gt;=12),
TEXT(TIMEVALUE(_xlfn.TEXTBEFORE(EST!D6," - "))+TIME(12,0,0),"hh:mm")
&amp; " - " &amp;
TEXT(TIMEVALUE(_xlfn.TEXTAFTER(EST!D6," - "))+TIME(12,0,0),"hh:mm"),
IF(AND(EST!E6&lt;&gt;"OFF",VALUE(LEFT(EST!E6,2))&lt;12),
TEXT(TIMEVALUE(_xlfn.TEXTBEFORE(EST!E6," - "))+TIME(12,0,0),"hh:mm")
&amp; " - " &amp;
TEXT(TIMEVALUE(_xlfn.TEXTAFTER(EST!E6," - "))+TIME(12,0,0),"hh:mm"),
"OFF")),"OFF")</f>
        <v>17:00 - 04:00</v>
      </c>
      <c r="F6" t="str">
        <f>IFERROR(IF(EST!E6="OFF",
IF(EST!F6="OFF","OFF",
IF(VALUE(LEFT(EST!F6,2))&lt;12,
TEXT(TIMEVALUE(_xlfn.TEXTBEFORE(EST!F6," - "))+TIME(12,0,0),"hh:mm")
&amp; " - " &amp;
TEXT(TIMEVALUE(_xlfn.TEXTAFTER(EST!F6," - "))+TIME(12,0,0),"hh:mm"),
"OFF")),
TEXT(TIMEVALUE(_xlfn.TEXTBEFORE(EST!E6," - "))+TIME(12,0,0),"hh:mm")
&amp; " - " &amp;
TEXT(TIMEVALUE(_xlfn.TEXTAFTER(EST!E6," - "))+TIME(12,0,0),"hh:mm")),"OFF")</f>
        <v>17:00 - 04:00</v>
      </c>
      <c r="G6" t="str">
        <f>IFERROR(IF(EST!F6="OFF",
IF(EST!G6="OFF","OFF",
IF(VALUE(LEFT(EST!G6,2))&lt;12,
TEXT(TIMEVALUE(_xlfn.TEXTBEFORE(EST!G6," - "))+TIME(12,0,0),"hh:mm")
&amp; " - " &amp;
TEXT(TIMEVALUE(_xlfn.TEXTAFTER(EST!G6," - "))+TIME(12,0,0),"hh:mm"),
"OFF")),
TEXT(TIMEVALUE(_xlfn.TEXTBEFORE(EST!F6," - "))+TIME(12,0,0),"hh:mm")
&amp; " - " &amp;
TEXT(TIMEVALUE(_xlfn.TEXTAFTER(EST!F6," - "))+TIME(12,0,0),"hh:mm")),"OFF")</f>
        <v>17:00 - 04:00</v>
      </c>
      <c r="H6" t="str">
        <f>IFERROR(IF(EST!G6="OFF",
IF(EST!H6="OFF","OFF",
IF(VALUE(LEFT(EST!H6,2))&lt;12,
TEXT(TIMEVALUE(_xlfn.TEXTBEFORE(EST!H6," - "))+TIME(12,0,0),"hh:mm")
&amp; " - " &amp;
TEXT(TIMEVALUE(_xlfn.TEXTAFTER(EST!H6," - "))+TIME(12,0,0),"hh:mm"),
"OFF")),
TEXT(TIMEVALUE(_xlfn.TEXTBEFORE(EST!G6," - "))+TIME(12,0,0),"hh:mm")
&amp; " - " &amp;
TEXT(TIMEVALUE(_xlfn.TEXTAFTER(EST!G6," - "))+TIME(12,0,0),"hh:mm")),"OFF")</f>
        <v>OFF</v>
      </c>
      <c r="I6" t="str">
        <f t="shared" si="0"/>
        <v>Mon - Tue - Sun</v>
      </c>
      <c r="J6" s="38">
        <f>MOD(EST!J6+TIME(12,0,0),1)</f>
        <v>0.80208333333333326</v>
      </c>
      <c r="K6" s="38">
        <f>MOD(EST!K6+TIME(12,0,0),1)</f>
        <v>0.96875</v>
      </c>
      <c r="L6" s="38">
        <f>MOD(EST!L6+TIME(12,0,0),1)</f>
        <v>0.88541666666666674</v>
      </c>
      <c r="M6" s="38">
        <f>MOD(EST!M6+TIME(12,0,0),1)</f>
        <v>8.3333333333333481E-2</v>
      </c>
      <c r="N6" t="str">
        <f>EST!N6</f>
        <v>Manilyn Abellar</v>
      </c>
    </row>
    <row r="7" spans="1:14" x14ac:dyDescent="0.25">
      <c r="A7" t="str">
        <f>EST!A7</f>
        <v>JOSHUA BAGAPORO</v>
      </c>
      <c r="B7" t="str">
        <f>IFERROR(IF(EST!H7="OFF",
IF(EST!B7="OFF","OFF",
IF(VALUE(LEFT(EST!B7,2))&lt;12,
TEXT(TIMEVALUE(_xlfn.TEXTBEFORE(EST!B7," - "))+TIME(12,0,0),"hh:mm")
&amp;" - "&amp;
TEXT(TIMEVALUE(_xlfn.TEXTAFTER(EST!B7," - "))+TIME(12,0,0),"hh:mm"),
"OFF")),
IF(VALUE(LEFT(EST!H7,2))&gt;=12,
TEXT(TIMEVALUE(_xlfn.TEXTBEFORE(EST!H7," - "))+TIME(12,0,0),"hh:mm")
&amp;" - "&amp;
TEXT(TIMEVALUE(_xlfn.TEXTAFTER(EST!H7," - "))+TIME(12,0,0),"hh:mm"),
"OFF")),"OFF")</f>
        <v>OFF</v>
      </c>
      <c r="C7" t="str">
        <f>IFERROR(IF(AND(EST!B7&lt;&gt;"OFF",VALUE(LEFT(EST!B7,2))&gt;=12),
TEXT(TIMEVALUE(_xlfn.TEXTBEFORE(EST!B7," - "))+TIME(12,0,0),"hh:mm")
&amp; " - " &amp;
TEXT(TIMEVALUE(_xlfn.TEXTAFTER(EST!B7," - "))+TIME(12,0,0),"hh:mm"),
IF(AND(EST!C7&lt;&gt;"OFF",VALUE(LEFT(EST!C7,2))&lt;12),
TEXT(TIMEVALUE(_xlfn.TEXTBEFORE(EST!C7," - "))+TIME(12,0,0),"hh:mm")
&amp; " - " &amp;
TEXT(TIMEVALUE(_xlfn.TEXTAFTER(EST!C7," - "))+TIME(12,0,0),"hh:mm"),
"OFF")),"OFF")</f>
        <v>OFF</v>
      </c>
      <c r="D7" t="str">
        <f>IFERROR(IF(AND(EST!C7&lt;&gt;"OFF",VALUE(LEFT(EST!C7,2))&gt;=12),
TEXT(TIMEVALUE(_xlfn.TEXTBEFORE(EST!C7," - "))+TIME(12,0,0),"hh:mm")
&amp; " - " &amp;
TEXT(TIMEVALUE(_xlfn.TEXTAFTER(EST!C7," - "))+TIME(12,0,0),"hh:mm"),
IF(AND(EST!D7&lt;&gt;"OFF",VALUE(LEFT(EST!D7,2))&lt;12),
TEXT(TIMEVALUE(_xlfn.TEXTBEFORE(EST!D7," - "))+TIME(12,0,0),"hh:mm")
&amp; " - " &amp;
TEXT(TIMEVALUE(_xlfn.TEXTAFTER(EST!D7," - "))+TIME(12,0,0),"hh:mm"),
"OFF")),"OFF")</f>
        <v>18:00 - 05:00</v>
      </c>
      <c r="E7" t="str">
        <f>IFERROR(IF(AND(EST!D7&lt;&gt;"OFF",VALUE(LEFT(EST!D7,2))&gt;=12),
TEXT(TIMEVALUE(_xlfn.TEXTBEFORE(EST!D7," - "))+TIME(12,0,0),"hh:mm")
&amp; " - " &amp;
TEXT(TIMEVALUE(_xlfn.TEXTAFTER(EST!D7," - "))+TIME(12,0,0),"hh:mm"),
IF(AND(EST!E7&lt;&gt;"OFF",VALUE(LEFT(EST!E7,2))&lt;12),
TEXT(TIMEVALUE(_xlfn.TEXTBEFORE(EST!E7," - "))+TIME(12,0,0),"hh:mm")
&amp; " - " &amp;
TEXT(TIMEVALUE(_xlfn.TEXTAFTER(EST!E7," - "))+TIME(12,0,0),"hh:mm"),
"OFF")),"OFF")</f>
        <v>18:00 - 05:00</v>
      </c>
      <c r="F7" t="str">
        <f>IFERROR(IF(EST!E7="OFF",
IF(EST!F7="OFF","OFF",
IF(VALUE(LEFT(EST!F7,2))&lt;12,
TEXT(TIMEVALUE(_xlfn.TEXTBEFORE(EST!F7," - "))+TIME(12,0,0),"hh:mm")
&amp; " - " &amp;
TEXT(TIMEVALUE(_xlfn.TEXTAFTER(EST!F7," - "))+TIME(12,0,0),"hh:mm"),
"OFF")),
TEXT(TIMEVALUE(_xlfn.TEXTBEFORE(EST!E7," - "))+TIME(12,0,0),"hh:mm")
&amp; " - " &amp;
TEXT(TIMEVALUE(_xlfn.TEXTAFTER(EST!E7," - "))+TIME(12,0,0),"hh:mm")),"OFF")</f>
        <v>18:00 - 05:00</v>
      </c>
      <c r="G7" t="str">
        <f>IFERROR(IF(EST!F7="OFF",
IF(EST!G7="OFF","OFF",
IF(VALUE(LEFT(EST!G7,2))&lt;12,
TEXT(TIMEVALUE(_xlfn.TEXTBEFORE(EST!G7," - "))+TIME(12,0,0),"hh:mm")
&amp; " - " &amp;
TEXT(TIMEVALUE(_xlfn.TEXTAFTER(EST!G7," - "))+TIME(12,0,0),"hh:mm"),
"OFF")),
TEXT(TIMEVALUE(_xlfn.TEXTBEFORE(EST!F7," - "))+TIME(12,0,0),"hh:mm")
&amp; " - " &amp;
TEXT(TIMEVALUE(_xlfn.TEXTAFTER(EST!F7," - "))+TIME(12,0,0),"hh:mm")),"OFF")</f>
        <v>18:00 - 05:00</v>
      </c>
      <c r="H7" t="str">
        <f>IFERROR(IF(EST!G7="OFF",
IF(EST!H7="OFF","OFF",
IF(VALUE(LEFT(EST!H7,2))&lt;12,
TEXT(TIMEVALUE(_xlfn.TEXTBEFORE(EST!H7," - "))+TIME(12,0,0),"hh:mm")
&amp; " - " &amp;
TEXT(TIMEVALUE(_xlfn.TEXTAFTER(EST!H7," - "))+TIME(12,0,0),"hh:mm"),
"OFF")),
TEXT(TIMEVALUE(_xlfn.TEXTBEFORE(EST!G7," - "))+TIME(12,0,0),"hh:mm")
&amp; " - " &amp;
TEXT(TIMEVALUE(_xlfn.TEXTAFTER(EST!G7," - "))+TIME(12,0,0),"hh:mm")),"OFF")</f>
        <v>OFF</v>
      </c>
      <c r="I7" t="str">
        <f t="shared" si="0"/>
        <v>Mon - Tue - Sun</v>
      </c>
      <c r="J7" s="38">
        <f>MOD(EST!J7+TIME(12,0,0),1)</f>
        <v>0.84375</v>
      </c>
      <c r="K7" s="38">
        <f>MOD(EST!K7+TIME(12,0,0),1)</f>
        <v>3.125E-2</v>
      </c>
      <c r="L7" s="38">
        <f>MOD(EST!L7+TIME(12,0,0),1)</f>
        <v>0.91666666666666674</v>
      </c>
      <c r="M7" s="38">
        <f>MOD(EST!M7+TIME(12,0,0),1)</f>
        <v>0.125</v>
      </c>
      <c r="N7" t="str">
        <f>EST!N7</f>
        <v>Christopher Rodas</v>
      </c>
    </row>
    <row r="8" spans="1:14" x14ac:dyDescent="0.25">
      <c r="A8" t="str">
        <f>EST!A8</f>
        <v>KIRBY SANTOS</v>
      </c>
      <c r="B8" t="str">
        <f>IFERROR(IF(EST!H8="OFF",
IF(EST!B8="OFF","OFF",
IF(VALUE(LEFT(EST!B8,2))&lt;12,
TEXT(TIMEVALUE(_xlfn.TEXTBEFORE(EST!B8," - "))+TIME(12,0,0),"hh:mm")
&amp;" - "&amp;
TEXT(TIMEVALUE(_xlfn.TEXTAFTER(EST!B8," - "))+TIME(12,0,0),"hh:mm"),
"OFF")),
IF(VALUE(LEFT(EST!H8,2))&gt;=12,
TEXT(TIMEVALUE(_xlfn.TEXTBEFORE(EST!H8," - "))+TIME(12,0,0),"hh:mm")
&amp;" - "&amp;
TEXT(TIMEVALUE(_xlfn.TEXTAFTER(EST!H8," - "))+TIME(12,0,0),"hh:mm"),
"OFF")),"OFF")</f>
        <v>OFF</v>
      </c>
      <c r="C8" t="str">
        <f>IFERROR(IF(AND(EST!B8&lt;&gt;"OFF",VALUE(LEFT(EST!B8,2))&gt;=12),
TEXT(TIMEVALUE(_xlfn.TEXTBEFORE(EST!B8," - "))+TIME(12,0,0),"hh:mm")
&amp; " - " &amp;
TEXT(TIMEVALUE(_xlfn.TEXTAFTER(EST!B8," - "))+TIME(12,0,0),"hh:mm"),
IF(AND(EST!C8&lt;&gt;"OFF",VALUE(LEFT(EST!C8,2))&lt;12),
TEXT(TIMEVALUE(_xlfn.TEXTBEFORE(EST!C8," - "))+TIME(12,0,0),"hh:mm")
&amp; " - " &amp;
TEXT(TIMEVALUE(_xlfn.TEXTAFTER(EST!C8," - "))+TIME(12,0,0),"hh:mm"),
"OFF")),"OFF")</f>
        <v>OFF</v>
      </c>
      <c r="D8" t="str">
        <f>IFERROR(IF(AND(EST!C8&lt;&gt;"OFF",VALUE(LEFT(EST!C8,2))&gt;=12),
TEXT(TIMEVALUE(_xlfn.TEXTBEFORE(EST!C8," - "))+TIME(12,0,0),"hh:mm")
&amp; " - " &amp;
TEXT(TIMEVALUE(_xlfn.TEXTAFTER(EST!C8," - "))+TIME(12,0,0),"hh:mm"),
IF(AND(EST!D8&lt;&gt;"OFF",VALUE(LEFT(EST!D8,2))&lt;12),
TEXT(TIMEVALUE(_xlfn.TEXTBEFORE(EST!D8," - "))+TIME(12,0,0),"hh:mm")
&amp; " - " &amp;
TEXT(TIMEVALUE(_xlfn.TEXTAFTER(EST!D8," - "))+TIME(12,0,0),"hh:mm"),
"OFF")),"OFF")</f>
        <v>05:00 - 16:00</v>
      </c>
      <c r="E8" t="str">
        <f>IFERROR(IF(AND(EST!D8&lt;&gt;"OFF",VALUE(LEFT(EST!D8,2))&gt;=12),
TEXT(TIMEVALUE(_xlfn.TEXTBEFORE(EST!D8," - "))+TIME(12,0,0),"hh:mm")
&amp; " - " &amp;
TEXT(TIMEVALUE(_xlfn.TEXTAFTER(EST!D8," - "))+TIME(12,0,0),"hh:mm"),
IF(AND(EST!E8&lt;&gt;"OFF",VALUE(LEFT(EST!E8,2))&lt;12),
TEXT(TIMEVALUE(_xlfn.TEXTBEFORE(EST!E8," - "))+TIME(12,0,0),"hh:mm")
&amp; " - " &amp;
TEXT(TIMEVALUE(_xlfn.TEXTAFTER(EST!E8," - "))+TIME(12,0,0),"hh:mm"),
"OFF")),"OFF")</f>
        <v>05:00 - 16:00</v>
      </c>
      <c r="F8" t="str">
        <f>IFERROR(IF(EST!E8="OFF",
IF(EST!F8="OFF","OFF",
IF(VALUE(LEFT(EST!F8,2))&lt;12,
TEXT(TIMEVALUE(_xlfn.TEXTBEFORE(EST!F8," - "))+TIME(12,0,0),"hh:mm")
&amp; " - " &amp;
TEXT(TIMEVALUE(_xlfn.TEXTAFTER(EST!F8," - "))+TIME(12,0,0),"hh:mm"),
"OFF")),
TEXT(TIMEVALUE(_xlfn.TEXTBEFORE(EST!E8," - "))+TIME(12,0,0),"hh:mm")
&amp; " - " &amp;
TEXT(TIMEVALUE(_xlfn.TEXTAFTER(EST!E8," - "))+TIME(12,0,0),"hh:mm")),"OFF")</f>
        <v>05:00 - 16:00</v>
      </c>
      <c r="G8" t="str">
        <f>IFERROR(IF(EST!F8="OFF",
IF(EST!G8="OFF","OFF",
IF(VALUE(LEFT(EST!G8,2))&lt;12,
TEXT(TIMEVALUE(_xlfn.TEXTBEFORE(EST!G8," - "))+TIME(12,0,0),"hh:mm")
&amp; " - " &amp;
TEXT(TIMEVALUE(_xlfn.TEXTAFTER(EST!G8," - "))+TIME(12,0,0),"hh:mm"),
"OFF")),
TEXT(TIMEVALUE(_xlfn.TEXTBEFORE(EST!F8," - "))+TIME(12,0,0),"hh:mm")
&amp; " - " &amp;
TEXT(TIMEVALUE(_xlfn.TEXTAFTER(EST!F8," - "))+TIME(12,0,0),"hh:mm")),"OFF")</f>
        <v>05:00 - 16:00</v>
      </c>
      <c r="H8" t="str">
        <f>IFERROR(IF(EST!G8="OFF",
IF(EST!H8="OFF","OFF",
IF(VALUE(LEFT(EST!H8,2))&lt;12,
TEXT(TIMEVALUE(_xlfn.TEXTBEFORE(EST!H8," - "))+TIME(12,0,0),"hh:mm")
&amp; " - " &amp;
TEXT(TIMEVALUE(_xlfn.TEXTAFTER(EST!H8," - "))+TIME(12,0,0),"hh:mm"),
"OFF")),
TEXT(TIMEVALUE(_xlfn.TEXTBEFORE(EST!G8," - "))+TIME(12,0,0),"hh:mm")
&amp; " - " &amp;
TEXT(TIMEVALUE(_xlfn.TEXTAFTER(EST!G8," - "))+TIME(12,0,0),"hh:mm")),"OFF")</f>
        <v>OFF</v>
      </c>
      <c r="I8" t="str">
        <f t="shared" si="0"/>
        <v>Mon - Tue - Sun</v>
      </c>
      <c r="J8" s="38">
        <f>MOD(EST!J8+TIME(12,0,0),1)</f>
        <v>0.3125</v>
      </c>
      <c r="K8" s="38">
        <f>MOD(EST!K8+TIME(12,0,0),1)</f>
        <v>0.5</v>
      </c>
      <c r="L8" s="38">
        <f>MOD(EST!L8+TIME(12,0,0),1)</f>
        <v>0.40625</v>
      </c>
      <c r="M8" s="38">
        <f>MOD(EST!M8+TIME(12,0,0),1)</f>
        <v>0.60416666666666663</v>
      </c>
      <c r="N8" t="str">
        <f>EST!N8</f>
        <v>Manilyn Abellar</v>
      </c>
    </row>
    <row r="9" spans="1:14" x14ac:dyDescent="0.25">
      <c r="A9" t="str">
        <f>EST!A9</f>
        <v>MANUELETH NARDO</v>
      </c>
      <c r="B9" t="str">
        <f>IFERROR(IF(EST!H9="OFF",
IF(EST!B9="OFF","OFF",
IF(VALUE(LEFT(EST!B9,2))&lt;12,
TEXT(TIMEVALUE(_xlfn.TEXTBEFORE(EST!B9," - "))+TIME(12,0,0),"hh:mm")
&amp;" - "&amp;
TEXT(TIMEVALUE(_xlfn.TEXTAFTER(EST!B9," - "))+TIME(12,0,0),"hh:mm"),
"OFF")),
IF(VALUE(LEFT(EST!H9,2))&gt;=12,
TEXT(TIMEVALUE(_xlfn.TEXTBEFORE(EST!H9," - "))+TIME(12,0,0),"hh:mm")
&amp;" - "&amp;
TEXT(TIMEVALUE(_xlfn.TEXTAFTER(EST!H9," - "))+TIME(12,0,0),"hh:mm"),
"OFF")),"OFF")</f>
        <v>OFF</v>
      </c>
      <c r="C9" t="str">
        <f>IFERROR(IF(AND(EST!B9&lt;&gt;"OFF",VALUE(LEFT(EST!B9,2))&gt;=12),
TEXT(TIMEVALUE(_xlfn.TEXTBEFORE(EST!B9," - "))+TIME(12,0,0),"hh:mm")
&amp; " - " &amp;
TEXT(TIMEVALUE(_xlfn.TEXTAFTER(EST!B9," - "))+TIME(12,0,0),"hh:mm"),
IF(AND(EST!C9&lt;&gt;"OFF",VALUE(LEFT(EST!C9,2))&lt;12),
TEXT(TIMEVALUE(_xlfn.TEXTBEFORE(EST!C9," - "))+TIME(12,0,0),"hh:mm")
&amp; " - " &amp;
TEXT(TIMEVALUE(_xlfn.TEXTAFTER(EST!C9," - "))+TIME(12,0,0),"hh:mm"),
"OFF")),"OFF")</f>
        <v>OFF</v>
      </c>
      <c r="D9" t="str">
        <f>IFERROR(IF(AND(EST!C9&lt;&gt;"OFF",VALUE(LEFT(EST!C9,2))&gt;=12),
TEXT(TIMEVALUE(_xlfn.TEXTBEFORE(EST!C9," - "))+TIME(12,0,0),"hh:mm")
&amp; " - " &amp;
TEXT(TIMEVALUE(_xlfn.TEXTAFTER(EST!C9," - "))+TIME(12,0,0),"hh:mm"),
IF(AND(EST!D9&lt;&gt;"OFF",VALUE(LEFT(EST!D9,2))&lt;12),
TEXT(TIMEVALUE(_xlfn.TEXTBEFORE(EST!D9," - "))+TIME(12,0,0),"hh:mm")
&amp; " - " &amp;
TEXT(TIMEVALUE(_xlfn.TEXTAFTER(EST!D9," - "))+TIME(12,0,0),"hh:mm"),
"OFF")),"OFF")</f>
        <v>OFF</v>
      </c>
      <c r="E9" t="str">
        <f>IFERROR(IF(AND(EST!D9&lt;&gt;"OFF",VALUE(LEFT(EST!D9,2))&gt;=12),
TEXT(TIMEVALUE(_xlfn.TEXTBEFORE(EST!D9," - "))+TIME(12,0,0),"hh:mm")
&amp; " - " &amp;
TEXT(TIMEVALUE(_xlfn.TEXTAFTER(EST!D9," - "))+TIME(12,0,0),"hh:mm"),
IF(AND(EST!E9&lt;&gt;"OFF",VALUE(LEFT(EST!E9,2))&lt;12),
TEXT(TIMEVALUE(_xlfn.TEXTBEFORE(EST!E9," - "))+TIME(12,0,0),"hh:mm")
&amp; " - " &amp;
TEXT(TIMEVALUE(_xlfn.TEXTAFTER(EST!E9," - "))+TIME(12,0,0),"hh:mm"),
"OFF")),"OFF")</f>
        <v>06:30 - 17:30</v>
      </c>
      <c r="F9" t="str">
        <f>IFERROR(IF(EST!E9="OFF",
IF(EST!F9="OFF","OFF",
IF(VALUE(LEFT(EST!F9,2))&lt;12,
TEXT(TIMEVALUE(_xlfn.TEXTBEFORE(EST!F9," - "))+TIME(12,0,0),"hh:mm")
&amp; " - " &amp;
TEXT(TIMEVALUE(_xlfn.TEXTAFTER(EST!F9," - "))+TIME(12,0,0),"hh:mm"),
"OFF")),
TEXT(TIMEVALUE(_xlfn.TEXTBEFORE(EST!E9," - "))+TIME(12,0,0),"hh:mm")
&amp; " - " &amp;
TEXT(TIMEVALUE(_xlfn.TEXTAFTER(EST!E9," - "))+TIME(12,0,0),"hh:mm")),"OFF")</f>
        <v>06:30 - 17:30</v>
      </c>
      <c r="G9" t="str">
        <f>IFERROR(IF(EST!F9="OFF",
IF(EST!G9="OFF","OFF",
IF(VALUE(LEFT(EST!G9,2))&lt;12,
TEXT(TIMEVALUE(_xlfn.TEXTBEFORE(EST!G9," - "))+TIME(12,0,0),"hh:mm")
&amp; " - " &amp;
TEXT(TIMEVALUE(_xlfn.TEXTAFTER(EST!G9," - "))+TIME(12,0,0),"hh:mm"),
"OFF")),
TEXT(TIMEVALUE(_xlfn.TEXTBEFORE(EST!F9," - "))+TIME(12,0,0),"hh:mm")
&amp; " - " &amp;
TEXT(TIMEVALUE(_xlfn.TEXTAFTER(EST!F9," - "))+TIME(12,0,0),"hh:mm")),"OFF")</f>
        <v>06:30 - 17:30</v>
      </c>
      <c r="H9" t="str">
        <f>IFERROR(IF(EST!G9="OFF",
IF(EST!H9="OFF","OFF",
IF(VALUE(LEFT(EST!H9,2))&lt;12,
TEXT(TIMEVALUE(_xlfn.TEXTBEFORE(EST!H9," - "))+TIME(12,0,0),"hh:mm")
&amp; " - " &amp;
TEXT(TIMEVALUE(_xlfn.TEXTAFTER(EST!H9," - "))+TIME(12,0,0),"hh:mm"),
"OFF")),
TEXT(TIMEVALUE(_xlfn.TEXTBEFORE(EST!G9," - "))+TIME(12,0,0),"hh:mm")
&amp; " - " &amp;
TEXT(TIMEVALUE(_xlfn.TEXTAFTER(EST!G9," - "))+TIME(12,0,0),"hh:mm")),"OFF")</f>
        <v>06:30 - 17:30</v>
      </c>
      <c r="I9" t="str">
        <f t="shared" si="0"/>
        <v>Mon - Tue - Wed</v>
      </c>
      <c r="J9" s="38">
        <f>MOD(EST!J9+TIME(12,0,0),1)</f>
        <v>0.35416666666666652</v>
      </c>
      <c r="K9" s="38">
        <f>MOD(EST!K9+TIME(12,0,0),1)</f>
        <v>0.57291666666666663</v>
      </c>
      <c r="L9" s="38">
        <f>MOD(EST!L9+TIME(12,0,0),1)</f>
        <v>0.44791666666666652</v>
      </c>
      <c r="M9" s="38">
        <f>MOD(EST!M9+TIME(12,0,0),1)</f>
        <v>0.67708333333333337</v>
      </c>
      <c r="N9" t="str">
        <f>EST!N9</f>
        <v>Christopher Rodas</v>
      </c>
    </row>
    <row r="10" spans="1:14" x14ac:dyDescent="0.25">
      <c r="A10" t="str">
        <f>EST!A10</f>
        <v>MARJON GAEBRIELLE ALBAY</v>
      </c>
      <c r="B10" t="str">
        <f>IFERROR(IF(EST!H10="OFF",
IF(EST!B10="OFF","OFF",
IF(VALUE(LEFT(EST!B10,2))&lt;12,
TEXT(TIMEVALUE(_xlfn.TEXTBEFORE(EST!B10," - "))+TIME(12,0,0),"hh:mm")
&amp;" - "&amp;
TEXT(TIMEVALUE(_xlfn.TEXTAFTER(EST!B10," - "))+TIME(12,0,0),"hh:mm"),
"OFF")),
IF(VALUE(LEFT(EST!H10,2))&gt;=12,
TEXT(TIMEVALUE(_xlfn.TEXTBEFORE(EST!H10," - "))+TIME(12,0,0),"hh:mm")
&amp;" - "&amp;
TEXT(TIMEVALUE(_xlfn.TEXTAFTER(EST!H10," - "))+TIME(12,0,0),"hh:mm"),
"OFF")),"OFF")</f>
        <v>OFF</v>
      </c>
      <c r="C10" t="str">
        <f>IFERROR(IF(AND(EST!B10&lt;&gt;"OFF",VALUE(LEFT(EST!B10,2))&gt;=12),
TEXT(TIMEVALUE(_xlfn.TEXTBEFORE(EST!B10," - "))+TIME(12,0,0),"hh:mm")
&amp; " - " &amp;
TEXT(TIMEVALUE(_xlfn.TEXTAFTER(EST!B10," - "))+TIME(12,0,0),"hh:mm"),
IF(AND(EST!C10&lt;&gt;"OFF",VALUE(LEFT(EST!C10,2))&lt;12),
TEXT(TIMEVALUE(_xlfn.TEXTBEFORE(EST!C10," - "))+TIME(12,0,0),"hh:mm")
&amp; " - " &amp;
TEXT(TIMEVALUE(_xlfn.TEXTAFTER(EST!C10," - "))+TIME(12,0,0),"hh:mm"),
"OFF")),"OFF")</f>
        <v>OFF</v>
      </c>
      <c r="D10" t="str">
        <f>IFERROR(IF(AND(EST!C10&lt;&gt;"OFF",VALUE(LEFT(EST!C10,2))&gt;=12),
TEXT(TIMEVALUE(_xlfn.TEXTBEFORE(EST!C10," - "))+TIME(12,0,0),"hh:mm")
&amp; " - " &amp;
TEXT(TIMEVALUE(_xlfn.TEXTAFTER(EST!C10," - "))+TIME(12,0,0),"hh:mm"),
IF(AND(EST!D10&lt;&gt;"OFF",VALUE(LEFT(EST!D10,2))&lt;12),
TEXT(TIMEVALUE(_xlfn.TEXTBEFORE(EST!D10," - "))+TIME(12,0,0),"hh:mm")
&amp; " - " &amp;
TEXT(TIMEVALUE(_xlfn.TEXTAFTER(EST!D10," - "))+TIME(12,0,0),"hh:mm"),
"OFF")),"OFF")</f>
        <v>21:00 - 08:00</v>
      </c>
      <c r="E10" t="str">
        <f>IFERROR(IF(AND(EST!D10&lt;&gt;"OFF",VALUE(LEFT(EST!D10,2))&gt;=12),
TEXT(TIMEVALUE(_xlfn.TEXTBEFORE(EST!D10," - "))+TIME(12,0,0),"hh:mm")
&amp; " - " &amp;
TEXT(TIMEVALUE(_xlfn.TEXTAFTER(EST!D10," - "))+TIME(12,0,0),"hh:mm"),
IF(AND(EST!E10&lt;&gt;"OFF",VALUE(LEFT(EST!E10,2))&lt;12),
TEXT(TIMEVALUE(_xlfn.TEXTBEFORE(EST!E10," - "))+TIME(12,0,0),"hh:mm")
&amp; " - " &amp;
TEXT(TIMEVALUE(_xlfn.TEXTAFTER(EST!E10," - "))+TIME(12,0,0),"hh:mm"),
"OFF")),"OFF")</f>
        <v>21:00 - 08:00</v>
      </c>
      <c r="F10" t="str">
        <f>IFERROR(IF(EST!E10="OFF",
IF(EST!F10="OFF","OFF",
IF(VALUE(LEFT(EST!F10,2))&lt;12,
TEXT(TIMEVALUE(_xlfn.TEXTBEFORE(EST!F10," - "))+TIME(12,0,0),"hh:mm")
&amp; " - " &amp;
TEXT(TIMEVALUE(_xlfn.TEXTAFTER(EST!F10," - "))+TIME(12,0,0),"hh:mm"),
"OFF")),
TEXT(TIMEVALUE(_xlfn.TEXTBEFORE(EST!E10," - "))+TIME(12,0,0),"hh:mm")
&amp; " - " &amp;
TEXT(TIMEVALUE(_xlfn.TEXTAFTER(EST!E10," - "))+TIME(12,0,0),"hh:mm")),"OFF")</f>
        <v>21:00 - 08:00</v>
      </c>
      <c r="G10" t="str">
        <f>IFERROR(IF(EST!F10="OFF",
IF(EST!G10="OFF","OFF",
IF(VALUE(LEFT(EST!G10,2))&lt;12,
TEXT(TIMEVALUE(_xlfn.TEXTBEFORE(EST!G10," - "))+TIME(12,0,0),"hh:mm")
&amp; " - " &amp;
TEXT(TIMEVALUE(_xlfn.TEXTAFTER(EST!G10," - "))+TIME(12,0,0),"hh:mm"),
"OFF")),
TEXT(TIMEVALUE(_xlfn.TEXTBEFORE(EST!F10," - "))+TIME(12,0,0),"hh:mm")
&amp; " - " &amp;
TEXT(TIMEVALUE(_xlfn.TEXTAFTER(EST!F10," - "))+TIME(12,0,0),"hh:mm")),"OFF")</f>
        <v>21:00 - 08:00</v>
      </c>
      <c r="H10" t="str">
        <f>IFERROR(IF(EST!G10="OFF",
IF(EST!H10="OFF","OFF",
IF(VALUE(LEFT(EST!H10,2))&lt;12,
TEXT(TIMEVALUE(_xlfn.TEXTBEFORE(EST!H10," - "))+TIME(12,0,0),"hh:mm")
&amp; " - " &amp;
TEXT(TIMEVALUE(_xlfn.TEXTAFTER(EST!H10," - "))+TIME(12,0,0),"hh:mm"),
"OFF")),
TEXT(TIMEVALUE(_xlfn.TEXTBEFORE(EST!G10," - "))+TIME(12,0,0),"hh:mm")
&amp; " - " &amp;
TEXT(TIMEVALUE(_xlfn.TEXTAFTER(EST!G10," - "))+TIME(12,0,0),"hh:mm")),"OFF")</f>
        <v>OFF</v>
      </c>
      <c r="I10" t="str">
        <f t="shared" si="0"/>
        <v>Mon - Tue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0.125</v>
      </c>
      <c r="M10" s="38">
        <f>MOD(EST!M10+TIME(12,0,0),1)</f>
        <v>0.28125</v>
      </c>
      <c r="N10" t="str">
        <f>EST!N10</f>
        <v>Michael Dominguez</v>
      </c>
    </row>
    <row r="11" spans="1:14" x14ac:dyDescent="0.25">
      <c r="A11" t="str">
        <f>EST!A11</f>
        <v>MARY ANGELINE FAJARDO</v>
      </c>
      <c r="B11" t="str">
        <f>IFERROR(IF(EST!H11="OFF",
IF(EST!B11="OFF","OFF",
IF(VALUE(LEFT(EST!B11,2))&lt;12,
TEXT(TIMEVALUE(_xlfn.TEXTBEFORE(EST!B11," - "))+TIME(12,0,0),"hh:mm")
&amp;" - "&amp;
TEXT(TIMEVALUE(_xlfn.TEXTAFTER(EST!B11," - "))+TIME(12,0,0),"hh:mm"),
"OFF")),
IF(VALUE(LEFT(EST!H11,2))&gt;=12,
TEXT(TIMEVALUE(_xlfn.TEXTBEFORE(EST!H11," - "))+TIME(12,0,0),"hh:mm")
&amp;" - "&amp;
TEXT(TIMEVALUE(_xlfn.TEXTAFTER(EST!H11," - "))+TIME(12,0,0),"hh:mm"),
"OFF")),"OFF")</f>
        <v>08:00 - 19:00</v>
      </c>
      <c r="C11" t="str">
        <f>IFERROR(IF(AND(EST!B11&lt;&gt;"OFF",VALUE(LEFT(EST!B11,2))&gt;=12),
TEXT(TIMEVALUE(_xlfn.TEXTBEFORE(EST!B11," - "))+TIME(12,0,0),"hh:mm")
&amp; " - " &amp;
TEXT(TIMEVALUE(_xlfn.TEXTAFTER(EST!B11," - "))+TIME(12,0,0),"hh:mm"),
IF(AND(EST!C11&lt;&gt;"OFF",VALUE(LEFT(EST!C11,2))&lt;12),
TEXT(TIMEVALUE(_xlfn.TEXTBEFORE(EST!C11," - "))+TIME(12,0,0),"hh:mm")
&amp; " - " &amp;
TEXT(TIMEVALUE(_xlfn.TEXTAFTER(EST!C11," - "))+TIME(12,0,0),"hh:mm"),
"OFF")),"OFF")</f>
        <v>OFF</v>
      </c>
      <c r="D11" t="str">
        <f>IFERROR(IF(AND(EST!C11&lt;&gt;"OFF",VALUE(LEFT(EST!C11,2))&gt;=12),
TEXT(TIMEVALUE(_xlfn.TEXTBEFORE(EST!C11," - "))+TIME(12,0,0),"hh:mm")
&amp; " - " &amp;
TEXT(TIMEVALUE(_xlfn.TEXTAFTER(EST!C11," - "))+TIME(12,0,0),"hh:mm"),
IF(AND(EST!D11&lt;&gt;"OFF",VALUE(LEFT(EST!D11,2))&lt;12),
TEXT(TIMEVALUE(_xlfn.TEXTBEFORE(EST!D11," - "))+TIME(12,0,0),"hh:mm")
&amp; " - " &amp;
TEXT(TIMEVALUE(_xlfn.TEXTAFTER(EST!D11," - "))+TIME(12,0,0),"hh:mm"),
"OFF")),"OFF")</f>
        <v>OFF</v>
      </c>
      <c r="E11" t="str">
        <f>IFERROR(IF(AND(EST!D11&lt;&gt;"OFF",VALUE(LEFT(EST!D11,2))&gt;=12),
TEXT(TIMEVALUE(_xlfn.TEXTBEFORE(EST!D11," - "))+TIME(12,0,0),"hh:mm")
&amp; " - " &amp;
TEXT(TIMEVALUE(_xlfn.TEXTAFTER(EST!D11," - "))+TIME(12,0,0),"hh:mm"),
IF(AND(EST!E11&lt;&gt;"OFF",VALUE(LEFT(EST!E11,2))&lt;12),
TEXT(TIMEVALUE(_xlfn.TEXTBEFORE(EST!E11," - "))+TIME(12,0,0),"hh:mm")
&amp; " - " &amp;
TEXT(TIMEVALUE(_xlfn.TEXTAFTER(EST!E11," - "))+TIME(12,0,0),"hh:mm"),
"OFF")),"OFF")</f>
        <v>OFF</v>
      </c>
      <c r="F11" t="str">
        <f>IFERROR(IF(EST!E11="OFF",
IF(EST!F11="OFF","OFF",
IF(VALUE(LEFT(EST!F11,2))&lt;12,
TEXT(TIMEVALUE(_xlfn.TEXTBEFORE(EST!F11," - "))+TIME(12,0,0),"hh:mm")
&amp; " - " &amp;
TEXT(TIMEVALUE(_xlfn.TEXTAFTER(EST!F11," - "))+TIME(12,0,0),"hh:mm"),
"OFF")),
TEXT(TIMEVALUE(_xlfn.TEXTBEFORE(EST!E11," - "))+TIME(12,0,0),"hh:mm")
&amp; " - " &amp;
TEXT(TIMEVALUE(_xlfn.TEXTAFTER(EST!E11," - "))+TIME(12,0,0),"hh:mm")),"OFF")</f>
        <v>08:00 - 19:00</v>
      </c>
      <c r="G11" t="str">
        <f>IFERROR(IF(EST!F11="OFF",
IF(EST!G11="OFF","OFF",
IF(VALUE(LEFT(EST!G11,2))&lt;12,
TEXT(TIMEVALUE(_xlfn.TEXTBEFORE(EST!G11," - "))+TIME(12,0,0),"hh:mm")
&amp; " - " &amp;
TEXT(TIMEVALUE(_xlfn.TEXTAFTER(EST!G11," - "))+TIME(12,0,0),"hh:mm"),
"OFF")),
TEXT(TIMEVALUE(_xlfn.TEXTBEFORE(EST!F11," - "))+TIME(12,0,0),"hh:mm")
&amp; " - " &amp;
TEXT(TIMEVALUE(_xlfn.TEXTAFTER(EST!F11," - "))+TIME(12,0,0),"hh:mm")),"OFF")</f>
        <v>08:00 - 19:00</v>
      </c>
      <c r="H11" t="str">
        <f>IFERROR(IF(EST!G11="OFF",
IF(EST!H11="OFF","OFF",
IF(VALUE(LEFT(EST!H11,2))&lt;12,
TEXT(TIMEVALUE(_xlfn.TEXTBEFORE(EST!H11," - "))+TIME(12,0,0),"hh:mm")
&amp; " - " &amp;
TEXT(TIMEVALUE(_xlfn.TEXTAFTER(EST!H11," - "))+TIME(12,0,0),"hh:mm"),
"OFF")),
TEXT(TIMEVALUE(_xlfn.TEXTBEFORE(EST!G11," - "))+TIME(12,0,0),"hh:mm")
&amp; " - " &amp;
TEXT(TIMEVALUE(_xlfn.TEXTAFTER(EST!G11," - "))+TIME(12,0,0),"hh:mm")),"OFF")</f>
        <v>08:00 - 19:00</v>
      </c>
      <c r="I11" t="str">
        <f t="shared" si="0"/>
        <v>Tue - Wed - Thu</v>
      </c>
      <c r="J11" s="38">
        <f>MOD(EST!J11+TIME(12,0,0),1)</f>
        <v>0.41666666666666652</v>
      </c>
      <c r="K11" s="38">
        <f>MOD(EST!K11+TIME(12,0,0),1)</f>
        <v>0.52083333333333337</v>
      </c>
      <c r="L11" s="38">
        <f>MOD(EST!L11+TIME(12,0,0),1)</f>
        <v>0.60416666666666663</v>
      </c>
      <c r="M11" s="38">
        <f>MOD(EST!M11+TIME(12,0,0),1)</f>
        <v>0.75</v>
      </c>
      <c r="N11" t="str">
        <f>EST!N11</f>
        <v>Christopher Rodas</v>
      </c>
    </row>
    <row r="12" spans="1:14" x14ac:dyDescent="0.25">
      <c r="A12" t="str">
        <f>EST!A12</f>
        <v>MHAR ANTHONY JUEZAN</v>
      </c>
      <c r="B12" t="str">
        <f>IFERROR(IF(EST!H12="OFF",
IF(EST!B12="OFF","OFF",
IF(VALUE(LEFT(EST!B12,2))&lt;12,
TEXT(TIMEVALUE(_xlfn.TEXTBEFORE(EST!B12," - "))+TIME(12,0,0),"hh:mm")
&amp;" - "&amp;
TEXT(TIMEVALUE(_xlfn.TEXTAFTER(EST!B12," - "))+TIME(12,0,0),"hh:mm"),
"OFF")),
IF(VALUE(LEFT(EST!H12,2))&gt;=12,
TEXT(TIMEVALUE(_xlfn.TEXTBEFORE(EST!H12," - "))+TIME(12,0,0),"hh:mm")
&amp;" - "&amp;
TEXT(TIMEVALUE(_xlfn.TEXTAFTER(EST!H12," - "))+TIME(12,0,0),"hh:mm"),
"OFF")),"OFF")</f>
        <v>OFF</v>
      </c>
      <c r="C12" t="str">
        <f>IFERROR(IF(AND(EST!B12&lt;&gt;"OFF",VALUE(LEFT(EST!B12,2))&gt;=12),
TEXT(TIMEVALUE(_xlfn.TEXTBEFORE(EST!B12," - "))+TIME(12,0,0),"hh:mm")
&amp; " - " &amp;
TEXT(TIMEVALUE(_xlfn.TEXTAFTER(EST!B12," - "))+TIME(12,0,0),"hh:mm"),
IF(AND(EST!C12&lt;&gt;"OFF",VALUE(LEFT(EST!C12,2))&lt;12),
TEXT(TIMEVALUE(_xlfn.TEXTBEFORE(EST!C12," - "))+TIME(12,0,0),"hh:mm")
&amp; " - " &amp;
TEXT(TIMEVALUE(_xlfn.TEXTAFTER(EST!C12," - "))+TIME(12,0,0),"hh:mm"),
"OFF")),"OFF")</f>
        <v>OFF</v>
      </c>
      <c r="D12" t="str">
        <f>IFERROR(IF(AND(EST!C12&lt;&gt;"OFF",VALUE(LEFT(EST!C12,2))&gt;=12),
TEXT(TIMEVALUE(_xlfn.TEXTBEFORE(EST!C12," - "))+TIME(12,0,0),"hh:mm")
&amp; " - " &amp;
TEXT(TIMEVALUE(_xlfn.TEXTAFTER(EST!C12," - "))+TIME(12,0,0),"hh:mm"),
IF(AND(EST!D12&lt;&gt;"OFF",VALUE(LEFT(EST!D12,2))&lt;12),
TEXT(TIMEVALUE(_xlfn.TEXTBEFORE(EST!D12," - "))+TIME(12,0,0),"hh:mm")
&amp; " - " &amp;
TEXT(TIMEVALUE(_xlfn.TEXTAFTER(EST!D12," - "))+TIME(12,0,0),"hh:mm"),
"OFF")),"OFF")</f>
        <v>OFF</v>
      </c>
      <c r="E12" t="str">
        <f>IFERROR(IF(AND(EST!D12&lt;&gt;"OFF",VALUE(LEFT(EST!D12,2))&gt;=12),
TEXT(TIMEVALUE(_xlfn.TEXTBEFORE(EST!D12," - "))+TIME(12,0,0),"hh:mm")
&amp; " - " &amp;
TEXT(TIMEVALUE(_xlfn.TEXTAFTER(EST!D12," - "))+TIME(12,0,0),"hh:mm"),
IF(AND(EST!E12&lt;&gt;"OFF",VALUE(LEFT(EST!E12,2))&lt;12),
TEXT(TIMEVALUE(_xlfn.TEXTBEFORE(EST!E12," - "))+TIME(12,0,0),"hh:mm")
&amp; " - " &amp;
TEXT(TIMEVALUE(_xlfn.TEXTAFTER(EST!E12," - "))+TIME(12,0,0),"hh:mm"),
"OFF")),"OFF")</f>
        <v>OFF</v>
      </c>
      <c r="F12" t="str">
        <f>IFERROR(IF(EST!E12="OFF",
IF(EST!F12="OFF","OFF",
IF(VALUE(LEFT(EST!F12,2))&lt;12,
TEXT(TIMEVALUE(_xlfn.TEXTBEFORE(EST!F12," - "))+TIME(12,0,0),"hh:mm")
&amp; " - " &amp;
TEXT(TIMEVALUE(_xlfn.TEXTAFTER(EST!F12," - "))+TIME(12,0,0),"hh:mm"),
"OFF")),
TEXT(TIMEVALUE(_xlfn.TEXTBEFORE(EST!E12," - "))+TIME(12,0,0),"hh:mm")
&amp; " - " &amp;
TEXT(TIMEVALUE(_xlfn.TEXTAFTER(EST!E12," - "))+TIME(12,0,0),"hh:mm")),"OFF")</f>
        <v>22:00 - 09:00</v>
      </c>
      <c r="G12" t="str">
        <f>IFERROR(IF(EST!F12="OFF",
IF(EST!G12="OFF","OFF",
IF(VALUE(LEFT(EST!G12,2))&lt;12,
TEXT(TIMEVALUE(_xlfn.TEXTBEFORE(EST!G12," - "))+TIME(12,0,0),"hh:mm")
&amp; " - " &amp;
TEXT(TIMEVALUE(_xlfn.TEXTAFTER(EST!G12," - "))+TIME(12,0,0),"hh:mm"),
"OFF")),
TEXT(TIMEVALUE(_xlfn.TEXTBEFORE(EST!F12," - "))+TIME(12,0,0),"hh:mm")
&amp; " - " &amp;
TEXT(TIMEVALUE(_xlfn.TEXTAFTER(EST!F12," - "))+TIME(12,0,0),"hh:mm")),"OFF")</f>
        <v>22:00 - 09:00</v>
      </c>
      <c r="H12" t="str">
        <f>IFERROR(IF(EST!G12="OFF",
IF(EST!H12="OFF","OFF",
IF(VALUE(LEFT(EST!H12,2))&lt;12,
TEXT(TIMEVALUE(_xlfn.TEXTBEFORE(EST!H12," - "))+TIME(12,0,0),"hh:mm")
&amp; " - " &amp;
TEXT(TIMEVALUE(_xlfn.TEXTAFTER(EST!H12," - "))+TIME(12,0,0),"hh:mm"),
"OFF")),
TEXT(TIMEVALUE(_xlfn.TEXTBEFORE(EST!G12," - "))+TIME(12,0,0),"hh:mm")
&amp; " - " &amp;
TEXT(TIMEVALUE(_xlfn.TEXTAFTER(EST!G12," - "))+TIME(12,0,0),"hh:mm")),"OFF")</f>
        <v>22:00 - 09:00</v>
      </c>
      <c r="I12" t="str">
        <f t="shared" si="0"/>
        <v>Mon - Tue - Wed - Thu</v>
      </c>
      <c r="J12" s="38">
        <f>MOD(EST!J12+TIME(12,0,0),1)</f>
        <v>0</v>
      </c>
      <c r="K12" s="38">
        <f>MOD(EST!K12+TIME(12,0,0),1)</f>
        <v>0.22916666666666652</v>
      </c>
      <c r="L12" s="38">
        <f>MOD(EST!L12+TIME(12,0,0),1)</f>
        <v>0.10416666666666652</v>
      </c>
      <c r="M12" s="38">
        <f>MOD(EST!M12+TIME(12,0,0),1)</f>
        <v>0.32291666666666652</v>
      </c>
      <c r="N12" t="str">
        <f>EST!N12</f>
        <v>Christopher Rodas</v>
      </c>
    </row>
    <row r="13" spans="1:14" x14ac:dyDescent="0.25">
      <c r="A13" t="str">
        <f>EST!A13</f>
        <v>REY FERNANDEZ</v>
      </c>
      <c r="B13" t="str">
        <f>IFERROR(IF(EST!H13="OFF",
IF(EST!B13="OFF","OFF",
IF(VALUE(LEFT(EST!B13,2))&lt;12,
TEXT(TIMEVALUE(_xlfn.TEXTBEFORE(EST!B13," - "))+TIME(12,0,0),"hh:mm")
&amp;" - "&amp;
TEXT(TIMEVALUE(_xlfn.TEXTAFTER(EST!B13," - "))+TIME(12,0,0),"hh:mm"),
"OFF")),
IF(VALUE(LEFT(EST!H13,2))&gt;=12,
TEXT(TIMEVALUE(_xlfn.TEXTBEFORE(EST!H13," - "))+TIME(12,0,0),"hh:mm")
&amp;" - "&amp;
TEXT(TIMEVALUE(_xlfn.TEXTAFTER(EST!H13," - "))+TIME(12,0,0),"hh:mm"),
"OFF")),"OFF")</f>
        <v>11:00 - 22:00</v>
      </c>
      <c r="C13" t="str">
        <f>IFERROR(IF(AND(EST!B13&lt;&gt;"OFF",VALUE(LEFT(EST!B13,2))&gt;=12),
TEXT(TIMEVALUE(_xlfn.TEXTBEFORE(EST!B13," - "))+TIME(12,0,0),"hh:mm")
&amp; " - " &amp;
TEXT(TIMEVALUE(_xlfn.TEXTAFTER(EST!B13," - "))+TIME(12,0,0),"hh:mm"),
IF(AND(EST!C13&lt;&gt;"OFF",VALUE(LEFT(EST!C13,2))&lt;12),
TEXT(TIMEVALUE(_xlfn.TEXTBEFORE(EST!C13," - "))+TIME(12,0,0),"hh:mm")
&amp; " - " &amp;
TEXT(TIMEVALUE(_xlfn.TEXTAFTER(EST!C13," - "))+TIME(12,0,0),"hh:mm"),
"OFF")),"OFF")</f>
        <v>OFF</v>
      </c>
      <c r="D13" t="str">
        <f>IFERROR(IF(AND(EST!C13&lt;&gt;"OFF",VALUE(LEFT(EST!C13,2))&gt;=12),
TEXT(TIMEVALUE(_xlfn.TEXTBEFORE(EST!C13," - "))+TIME(12,0,0),"hh:mm")
&amp; " - " &amp;
TEXT(TIMEVALUE(_xlfn.TEXTAFTER(EST!C13," - "))+TIME(12,0,0),"hh:mm"),
IF(AND(EST!D13&lt;&gt;"OFF",VALUE(LEFT(EST!D13,2))&lt;12),
TEXT(TIMEVALUE(_xlfn.TEXTBEFORE(EST!D13," - "))+TIME(12,0,0),"hh:mm")
&amp; " - " &amp;
TEXT(TIMEVALUE(_xlfn.TEXTAFTER(EST!D13," - "))+TIME(12,0,0),"hh:mm"),
"OFF")),"OFF")</f>
        <v>OFF</v>
      </c>
      <c r="E13" t="str">
        <f>IFERROR(IF(AND(EST!D13&lt;&gt;"OFF",VALUE(LEFT(EST!D13,2))&gt;=12),
TEXT(TIMEVALUE(_xlfn.TEXTBEFORE(EST!D13," - "))+TIME(12,0,0),"hh:mm")
&amp; " - " &amp;
TEXT(TIMEVALUE(_xlfn.TEXTAFTER(EST!D13," - "))+TIME(12,0,0),"hh:mm"),
IF(AND(EST!E13&lt;&gt;"OFF",VALUE(LEFT(EST!E13,2))&lt;12),
TEXT(TIMEVALUE(_xlfn.TEXTBEFORE(EST!E13," - "))+TIME(12,0,0),"hh:mm")
&amp; " - " &amp;
TEXT(TIMEVALUE(_xlfn.TEXTAFTER(EST!E13," - "))+TIME(12,0,0),"hh:mm"),
"OFF")),"OFF")</f>
        <v>11:00 - 22:00</v>
      </c>
      <c r="F13" t="str">
        <f>IFERROR(IF(EST!E13="OFF",
IF(EST!F13="OFF","OFF",
IF(VALUE(LEFT(EST!F13,2))&lt;12,
TEXT(TIMEVALUE(_xlfn.TEXTBEFORE(EST!F13," - "))+TIME(12,0,0),"hh:mm")
&amp; " - " &amp;
TEXT(TIMEVALUE(_xlfn.TEXTAFTER(EST!F13," - "))+TIME(12,0,0),"hh:mm"),
"OFF")),
TEXT(TIMEVALUE(_xlfn.TEXTBEFORE(EST!E13," - "))+TIME(12,0,0),"hh:mm")
&amp; " - " &amp;
TEXT(TIMEVALUE(_xlfn.TEXTAFTER(EST!E13," - "))+TIME(12,0,0),"hh:mm")),"OFF")</f>
        <v>11:00 - 22:00</v>
      </c>
      <c r="G13" t="str">
        <f>IFERROR(IF(EST!F13="OFF",
IF(EST!G13="OFF","OFF",
IF(VALUE(LEFT(EST!G13,2))&lt;12,
TEXT(TIMEVALUE(_xlfn.TEXTBEFORE(EST!G13," - "))+TIME(12,0,0),"hh:mm")
&amp; " - " &amp;
TEXT(TIMEVALUE(_xlfn.TEXTAFTER(EST!G13," - "))+TIME(12,0,0),"hh:mm"),
"OFF")),
TEXT(TIMEVALUE(_xlfn.TEXTBEFORE(EST!F13," - "))+TIME(12,0,0),"hh:mm")
&amp; " - " &amp;
TEXT(TIMEVALUE(_xlfn.TEXTAFTER(EST!F13," - "))+TIME(12,0,0),"hh:mm")),"OFF")</f>
        <v>OFF</v>
      </c>
      <c r="H13" t="str">
        <f>IFERROR(IF(EST!G13="OFF",
IF(EST!H13="OFF","OFF",
IF(VALUE(LEFT(EST!H13,2))&lt;12,
TEXT(TIMEVALUE(_xlfn.TEXTBEFORE(EST!H13," - "))+TIME(12,0,0),"hh:mm")
&amp; " - " &amp;
TEXT(TIMEVALUE(_xlfn.TEXTAFTER(EST!H13," - "))+TIME(12,0,0),"hh:mm"),
"OFF")),
TEXT(TIMEVALUE(_xlfn.TEXTBEFORE(EST!G13," - "))+TIME(12,0,0),"hh:mm")
&amp; " - " &amp;
TEXT(TIMEVALUE(_xlfn.TEXTAFTER(EST!G13," - "))+TIME(12,0,0),"hh:mm")),"OFF")</f>
        <v>11:00 - 22:00</v>
      </c>
      <c r="I13" t="str">
        <f t="shared" si="0"/>
        <v>Tue - Wed - Sat</v>
      </c>
      <c r="J13" s="38">
        <f>MOD(EST!J13+TIME(12,0,0),1)</f>
        <v>0.55208333333333337</v>
      </c>
      <c r="K13" s="38">
        <f>MOD(EST!K13+TIME(12,0,0),1)</f>
        <v>0.77083333333333326</v>
      </c>
      <c r="L13" s="38">
        <f>MOD(EST!L13+TIME(12,0,0),1)</f>
        <v>0.64583333333333337</v>
      </c>
      <c r="M13" s="38">
        <f>MOD(EST!M13+TIME(12,0,0),1)</f>
        <v>0.86458333333333326</v>
      </c>
      <c r="N13" t="str">
        <f>EST!N13</f>
        <v>Anmecha Valencia</v>
      </c>
    </row>
    <row r="14" spans="1:14" x14ac:dyDescent="0.25">
      <c r="A14" t="str">
        <f>EST!A14</f>
        <v>RONA ROTCHEL MONIVA</v>
      </c>
      <c r="B14" t="str">
        <f>IFERROR(IF(EST!H14="OFF",
IF(EST!B14="OFF","OFF",
IF(VALUE(LEFT(EST!B14,2))&lt;12,
TEXT(TIMEVALUE(_xlfn.TEXTBEFORE(EST!B14," - "))+TIME(12,0,0),"hh:mm")
&amp;" - "&amp;
TEXT(TIMEVALUE(_xlfn.TEXTAFTER(EST!B14," - "))+TIME(12,0,0),"hh:mm"),
"OFF")),
IF(VALUE(LEFT(EST!H14,2))&gt;=12,
TEXT(TIMEVALUE(_xlfn.TEXTBEFORE(EST!H14," - "))+TIME(12,0,0),"hh:mm")
&amp;" - "&amp;
TEXT(TIMEVALUE(_xlfn.TEXTAFTER(EST!H14," - "))+TIME(12,0,0),"hh:mm"),
"OFF")),"OFF")</f>
        <v>OFF</v>
      </c>
      <c r="C14" t="str">
        <f>IFERROR(IF(AND(EST!B14&lt;&gt;"OFF",VALUE(LEFT(EST!B14,2))&gt;=12),
TEXT(TIMEVALUE(_xlfn.TEXTBEFORE(EST!B14," - "))+TIME(12,0,0),"hh:mm")
&amp; " - " &amp;
TEXT(TIMEVALUE(_xlfn.TEXTAFTER(EST!B14," - "))+TIME(12,0,0),"hh:mm"),
IF(AND(EST!C14&lt;&gt;"OFF",VALUE(LEFT(EST!C14,2))&lt;12),
TEXT(TIMEVALUE(_xlfn.TEXTBEFORE(EST!C14," - "))+TIME(12,0,0),"hh:mm")
&amp; " - " &amp;
TEXT(TIMEVALUE(_xlfn.TEXTAFTER(EST!C14," - "))+TIME(12,0,0),"hh:mm"),
"OFF")),"OFF")</f>
        <v>OFF</v>
      </c>
      <c r="D14" t="str">
        <f>IFERROR(IF(AND(EST!C14&lt;&gt;"OFF",VALUE(LEFT(EST!C14,2))&gt;=12),
TEXT(TIMEVALUE(_xlfn.TEXTBEFORE(EST!C14," - "))+TIME(12,0,0),"hh:mm")
&amp; " - " &amp;
TEXT(TIMEVALUE(_xlfn.TEXTAFTER(EST!C14," - "))+TIME(12,0,0),"hh:mm"),
IF(AND(EST!D14&lt;&gt;"OFF",VALUE(LEFT(EST!D14,2))&lt;12),
TEXT(TIMEVALUE(_xlfn.TEXTBEFORE(EST!D14," - "))+TIME(12,0,0),"hh:mm")
&amp; " - " &amp;
TEXT(TIMEVALUE(_xlfn.TEXTAFTER(EST!D14," - "))+TIME(12,0,0),"hh:mm"),
"OFF")),"OFF")</f>
        <v>OFF</v>
      </c>
      <c r="E14" t="str">
        <f>IFERROR(IF(AND(EST!D14&lt;&gt;"OFF",VALUE(LEFT(EST!D14,2))&gt;=12),
TEXT(TIMEVALUE(_xlfn.TEXTBEFORE(EST!D14," - "))+TIME(12,0,0),"hh:mm")
&amp; " - " &amp;
TEXT(TIMEVALUE(_xlfn.TEXTAFTER(EST!D14," - "))+TIME(12,0,0),"hh:mm"),
IF(AND(EST!E14&lt;&gt;"OFF",VALUE(LEFT(EST!E14,2))&lt;12),
TEXT(TIMEVALUE(_xlfn.TEXTBEFORE(EST!E14," - "))+TIME(12,0,0),"hh:mm")
&amp; " - " &amp;
TEXT(TIMEVALUE(_xlfn.TEXTAFTER(EST!E14," - "))+TIME(12,0,0),"hh:mm"),
"OFF")),"OFF")</f>
        <v>21:00 - 08:00</v>
      </c>
      <c r="F14" t="str">
        <f>IFERROR(IF(EST!E14="OFF",
IF(EST!F14="OFF","OFF",
IF(VALUE(LEFT(EST!F14,2))&lt;12,
TEXT(TIMEVALUE(_xlfn.TEXTBEFORE(EST!F14," - "))+TIME(12,0,0),"hh:mm")
&amp; " - " &amp;
TEXT(TIMEVALUE(_xlfn.TEXTAFTER(EST!F14," - "))+TIME(12,0,0),"hh:mm"),
"OFF")),
TEXT(TIMEVALUE(_xlfn.TEXTBEFORE(EST!E14," - "))+TIME(12,0,0),"hh:mm")
&amp; " - " &amp;
TEXT(TIMEVALUE(_xlfn.TEXTAFTER(EST!E14," - "))+TIME(12,0,0),"hh:mm")),"OFF")</f>
        <v>21:00 - 08:00</v>
      </c>
      <c r="G14" t="str">
        <f>IFERROR(IF(EST!F14="OFF",
IF(EST!G14="OFF","OFF",
IF(VALUE(LEFT(EST!G14,2))&lt;12,
TEXT(TIMEVALUE(_xlfn.TEXTBEFORE(EST!G14," - "))+TIME(12,0,0),"hh:mm")
&amp; " - " &amp;
TEXT(TIMEVALUE(_xlfn.TEXTAFTER(EST!G14," - "))+TIME(12,0,0),"hh:mm"),
"OFF")),
TEXT(TIMEVALUE(_xlfn.TEXTBEFORE(EST!F14," - "))+TIME(12,0,0),"hh:mm")
&amp; " - " &amp;
TEXT(TIMEVALUE(_xlfn.TEXTAFTER(EST!F14," - "))+TIME(12,0,0),"hh:mm")),"OFF")</f>
        <v>21:00 - 08:00</v>
      </c>
      <c r="H14" t="str">
        <f>IFERROR(IF(EST!G14="OFF",
IF(EST!H14="OFF","OFF",
IF(VALUE(LEFT(EST!H14,2))&lt;12,
TEXT(TIMEVALUE(_xlfn.TEXTBEFORE(EST!H14," - "))+TIME(12,0,0),"hh:mm")
&amp; " - " &amp;
TEXT(TIMEVALUE(_xlfn.TEXTAFTER(EST!H14," - "))+TIME(12,0,0),"hh:mm"),
"OFF")),
TEXT(TIMEVALUE(_xlfn.TEXTBEFORE(EST!G14," - "))+TIME(12,0,0),"hh:mm")
&amp; " - " &amp;
TEXT(TIMEVALUE(_xlfn.TEXTAFTER(EST!G14," - "))+TIME(12,0,0),"hh:mm")),"OFF")</f>
        <v>21:00 - 08:00</v>
      </c>
      <c r="I14" t="str">
        <f t="shared" si="0"/>
        <v>Mon - Tue - Wed</v>
      </c>
      <c r="J14" s="38">
        <f>MOD(EST!J14+TIME(12,0,0),1)</f>
        <v>0.96875</v>
      </c>
      <c r="K14" s="38">
        <f>MOD(EST!K14+TIME(12,0,0),1)</f>
        <v>0.22916666666666652</v>
      </c>
      <c r="L14" s="38">
        <f>MOD(EST!L14+TIME(12,0,0),1)</f>
        <v>6.25E-2</v>
      </c>
      <c r="M14" s="38">
        <f>MOD(EST!M14+TIME(12,0,0),1)</f>
        <v>0.29166666666666652</v>
      </c>
      <c r="N14" t="str">
        <f>EST!N14</f>
        <v>Manilyn Abellar</v>
      </c>
    </row>
    <row r="15" spans="1:14" x14ac:dyDescent="0.25">
      <c r="A15" t="str">
        <f>EST!A15</f>
        <v>KATHLEEN MELECIO</v>
      </c>
      <c r="B15" t="str">
        <f>IFERROR(IF(EST!H15="OFF",
IF(EST!B15="OFF","OFF",
IF(VALUE(LEFT(EST!B15,2))&lt;12,
TEXT(TIMEVALUE(_xlfn.TEXTBEFORE(EST!B15," - "))+TIME(12,0,0),"hh:mm")
&amp;" - "&amp;
TEXT(TIMEVALUE(_xlfn.TEXTAFTER(EST!B15," - "))+TIME(12,0,0),"hh:mm"),
"OFF")),
IF(VALUE(LEFT(EST!H15,2))&gt;=12,
TEXT(TIMEVALUE(_xlfn.TEXTBEFORE(EST!H15," - "))+TIME(12,0,0),"hh:mm")
&amp;" - "&amp;
TEXT(TIMEVALUE(_xlfn.TEXTAFTER(EST!H15," - "))+TIME(12,0,0),"hh:mm"),
"OFF")),"OFF")</f>
        <v>OFF</v>
      </c>
      <c r="C15" t="str">
        <f>IFERROR(IF(AND(EST!B15&lt;&gt;"OFF",VALUE(LEFT(EST!B15,2))&gt;=12),
TEXT(TIMEVALUE(_xlfn.TEXTBEFORE(EST!B15," - "))+TIME(12,0,0),"hh:mm")
&amp; " - " &amp;
TEXT(TIMEVALUE(_xlfn.TEXTAFTER(EST!B15," - "))+TIME(12,0,0),"hh:mm"),
IF(AND(EST!C15&lt;&gt;"OFF",VALUE(LEFT(EST!C15,2))&lt;12),
TEXT(TIMEVALUE(_xlfn.TEXTBEFORE(EST!C15," - "))+TIME(12,0,0),"hh:mm")
&amp; " - " &amp;
TEXT(TIMEVALUE(_xlfn.TEXTAFTER(EST!C15," - "))+TIME(12,0,0),"hh:mm"),
"OFF")),"OFF")</f>
        <v>10:30 - 21:30</v>
      </c>
      <c r="D15" t="str">
        <f>IFERROR(IF(AND(EST!C15&lt;&gt;"OFF",VALUE(LEFT(EST!C15,2))&gt;=12),
TEXT(TIMEVALUE(_xlfn.TEXTBEFORE(EST!C15," - "))+TIME(12,0,0),"hh:mm")
&amp; " - " &amp;
TEXT(TIMEVALUE(_xlfn.TEXTAFTER(EST!C15," - "))+TIME(12,0,0),"hh:mm"),
IF(AND(EST!D15&lt;&gt;"OFF",VALUE(LEFT(EST!D15,2))&lt;12),
TEXT(TIMEVALUE(_xlfn.TEXTBEFORE(EST!D15," - "))+TIME(12,0,0),"hh:mm")
&amp; " - " &amp;
TEXT(TIMEVALUE(_xlfn.TEXTAFTER(EST!D15," - "))+TIME(12,0,0),"hh:mm"),
"OFF")),"OFF")</f>
        <v>10:30 - 21:30</v>
      </c>
      <c r="E15" t="str">
        <f>IFERROR(IF(AND(EST!D15&lt;&gt;"OFF",VALUE(LEFT(EST!D15,2))&gt;=12),
TEXT(TIMEVALUE(_xlfn.TEXTBEFORE(EST!D15," - "))+TIME(12,0,0),"hh:mm")
&amp; " - " &amp;
TEXT(TIMEVALUE(_xlfn.TEXTAFTER(EST!D15," - "))+TIME(12,0,0),"hh:mm"),
IF(AND(EST!E15&lt;&gt;"OFF",VALUE(LEFT(EST!E15,2))&lt;12),
TEXT(TIMEVALUE(_xlfn.TEXTBEFORE(EST!E15," - "))+TIME(12,0,0),"hh:mm")
&amp; " - " &amp;
TEXT(TIMEVALUE(_xlfn.TEXTAFTER(EST!E15," - "))+TIME(12,0,0),"hh:mm"),
"OFF")),"OFF")</f>
        <v>10:30 - 21:30</v>
      </c>
      <c r="F15" t="str">
        <f>IFERROR(IF(EST!E15="OFF",
IF(EST!F15="OFF","OFF",
IF(VALUE(LEFT(EST!F15,2))&lt;12,
TEXT(TIMEVALUE(_xlfn.TEXTBEFORE(EST!F15," - "))+TIME(12,0,0),"hh:mm")
&amp; " - " &amp;
TEXT(TIMEVALUE(_xlfn.TEXTAFTER(EST!F15," - "))+TIME(12,0,0),"hh:mm"),
"OFF")),
TEXT(TIMEVALUE(_xlfn.TEXTBEFORE(EST!E15," - "))+TIME(12,0,0),"hh:mm")
&amp; " - " &amp;
TEXT(TIMEVALUE(_xlfn.TEXTAFTER(EST!E15," - "))+TIME(12,0,0),"hh:mm")),"OFF")</f>
        <v>OFF</v>
      </c>
      <c r="G15" t="str">
        <f>IFERROR(IF(EST!F15="OFF",
IF(EST!G15="OFF","OFF",
IF(VALUE(LEFT(EST!G15,2))&lt;12,
TEXT(TIMEVALUE(_xlfn.TEXTBEFORE(EST!G15," - "))+TIME(12,0,0),"hh:mm")
&amp; " - " &amp;
TEXT(TIMEVALUE(_xlfn.TEXTAFTER(EST!G15," - "))+TIME(12,0,0),"hh:mm"),
"OFF")),
TEXT(TIMEVALUE(_xlfn.TEXTBEFORE(EST!F15," - "))+TIME(12,0,0),"hh:mm")
&amp; " - " &amp;
TEXT(TIMEVALUE(_xlfn.TEXTAFTER(EST!F15," - "))+TIME(12,0,0),"hh:mm")),"OFF")</f>
        <v>OFF</v>
      </c>
      <c r="H15" t="str">
        <f>IFERROR(IF(EST!G15="OFF",
IF(EST!H15="OFF","OFF",
IF(VALUE(LEFT(EST!H15,2))&lt;12,
TEXT(TIMEVALUE(_xlfn.TEXTBEFORE(EST!H15," - "))+TIME(12,0,0),"hh:mm")
&amp; " - " &amp;
TEXT(TIMEVALUE(_xlfn.TEXTAFTER(EST!H15," - "))+TIME(12,0,0),"hh:mm"),
"OFF")),
TEXT(TIMEVALUE(_xlfn.TEXTBEFORE(EST!G15," - "))+TIME(12,0,0),"hh:mm")
&amp; " - " &amp;
TEXT(TIMEVALUE(_xlfn.TEXTAFTER(EST!G15," - "))+TIME(12,0,0),"hh:mm")),"OFF")</f>
        <v>10:30 - 21:30</v>
      </c>
      <c r="I15" t="str">
        <f t="shared" si="0"/>
        <v>Mon - Fri - Sat</v>
      </c>
      <c r="J15" s="38">
        <f>MOD(EST!J15+TIME(12,0,0),1)</f>
        <v>0.55208333333333337</v>
      </c>
      <c r="K15" s="38">
        <f>MOD(EST!K15+TIME(12,0,0),1)</f>
        <v>0.77083333333333326</v>
      </c>
      <c r="L15" s="38">
        <f>MOD(EST!L15+TIME(12,0,0),1)</f>
        <v>0.625</v>
      </c>
      <c r="M15" s="38">
        <f>MOD(EST!M15+TIME(12,0,0),1)</f>
        <v>0.85416666666666674</v>
      </c>
      <c r="N15" t="str">
        <f>EST!N15</f>
        <v>Christopher Rodas</v>
      </c>
    </row>
    <row r="16" spans="1:14" x14ac:dyDescent="0.25">
      <c r="A16" t="str">
        <f>EST!A16</f>
        <v>JESSE OWEN RAMA</v>
      </c>
      <c r="B16" t="str">
        <f>IFERROR(IF(EST!H16="OFF",
IF(EST!B16="OFF","OFF",
IF(VALUE(LEFT(EST!B16,2))&lt;12,
TEXT(TIMEVALUE(_xlfn.TEXTBEFORE(EST!B16," - "))+TIME(12,0,0),"hh:mm")
&amp;" - "&amp;
TEXT(TIMEVALUE(_xlfn.TEXTAFTER(EST!B16," - "))+TIME(12,0,0),"hh:mm"),
"OFF")),
IF(VALUE(LEFT(EST!H16,2))&gt;=12,
TEXT(TIMEVALUE(_xlfn.TEXTBEFORE(EST!H16," - "))+TIME(12,0,0),"hh:mm")
&amp;" - "&amp;
TEXT(TIMEVALUE(_xlfn.TEXTAFTER(EST!H16," - "))+TIME(12,0,0),"hh:mm"),
"OFF")),"OFF")</f>
        <v>OFF</v>
      </c>
      <c r="C16" t="str">
        <f>IFERROR(IF(AND(EST!B16&lt;&gt;"OFF",VALUE(LEFT(EST!B16,2))&gt;=12),
TEXT(TIMEVALUE(_xlfn.TEXTBEFORE(EST!B16," - "))+TIME(12,0,0),"hh:mm")
&amp; " - " &amp;
TEXT(TIMEVALUE(_xlfn.TEXTAFTER(EST!B16," - "))+TIME(12,0,0),"hh:mm"),
IF(AND(EST!C16&lt;&gt;"OFF",VALUE(LEFT(EST!C16,2))&lt;12),
TEXT(TIMEVALUE(_xlfn.TEXTBEFORE(EST!C16," - "))+TIME(12,0,0),"hh:mm")
&amp; " - " &amp;
TEXT(TIMEVALUE(_xlfn.TEXTAFTER(EST!C16," - "))+TIME(12,0,0),"hh:mm"),
"OFF")),"OFF")</f>
        <v>10:00 - 21:00</v>
      </c>
      <c r="D16" t="str">
        <f>IFERROR(IF(AND(EST!C16&lt;&gt;"OFF",VALUE(LEFT(EST!C16,2))&gt;=12),
TEXT(TIMEVALUE(_xlfn.TEXTBEFORE(EST!C16," - "))+TIME(12,0,0),"hh:mm")
&amp; " - " &amp;
TEXT(TIMEVALUE(_xlfn.TEXTAFTER(EST!C16," - "))+TIME(12,0,0),"hh:mm"),
IF(AND(EST!D16&lt;&gt;"OFF",VALUE(LEFT(EST!D16,2))&lt;12),
TEXT(TIMEVALUE(_xlfn.TEXTBEFORE(EST!D16," - "))+TIME(12,0,0),"hh:mm")
&amp; " - " &amp;
TEXT(TIMEVALUE(_xlfn.TEXTAFTER(EST!D16," - "))+TIME(12,0,0),"hh:mm"),
"OFF")),"OFF")</f>
        <v>10:00 - 21:00</v>
      </c>
      <c r="E16" t="str">
        <f>IFERROR(IF(AND(EST!D16&lt;&gt;"OFF",VALUE(LEFT(EST!D16,2))&gt;=12),
TEXT(TIMEVALUE(_xlfn.TEXTBEFORE(EST!D16," - "))+TIME(12,0,0),"hh:mm")
&amp; " - " &amp;
TEXT(TIMEVALUE(_xlfn.TEXTAFTER(EST!D16," - "))+TIME(12,0,0),"hh:mm"),
IF(AND(EST!E16&lt;&gt;"OFF",VALUE(LEFT(EST!E16,2))&lt;12),
TEXT(TIMEVALUE(_xlfn.TEXTBEFORE(EST!E16," - "))+TIME(12,0,0),"hh:mm")
&amp; " - " &amp;
TEXT(TIMEVALUE(_xlfn.TEXTAFTER(EST!E16," - "))+TIME(12,0,0),"hh:mm"),
"OFF")),"OFF")</f>
        <v>OFF</v>
      </c>
      <c r="F16" t="str">
        <f>IFERROR(IF(EST!E16="OFF",
IF(EST!F16="OFF","OFF",
IF(VALUE(LEFT(EST!F16,2))&lt;12,
TEXT(TIMEVALUE(_xlfn.TEXTBEFORE(EST!F16," - "))+TIME(12,0,0),"hh:mm")
&amp; " - " &amp;
TEXT(TIMEVALUE(_xlfn.TEXTAFTER(EST!F16," - "))+TIME(12,0,0),"hh:mm"),
"OFF")),
TEXT(TIMEVALUE(_xlfn.TEXTBEFORE(EST!E16," - "))+TIME(12,0,0),"hh:mm")
&amp; " - " &amp;
TEXT(TIMEVALUE(_xlfn.TEXTAFTER(EST!E16," - "))+TIME(12,0,0),"hh:mm")),"OFF")</f>
        <v>10:00 - 21:00</v>
      </c>
      <c r="G16" t="str">
        <f>IFERROR(IF(EST!F16="OFF",
IF(EST!G16="OFF","OFF",
IF(VALUE(LEFT(EST!G16,2))&lt;12,
TEXT(TIMEVALUE(_xlfn.TEXTBEFORE(EST!G16," - "))+TIME(12,0,0),"hh:mm")
&amp; " - " &amp;
TEXT(TIMEVALUE(_xlfn.TEXTAFTER(EST!G16," - "))+TIME(12,0,0),"hh:mm"),
"OFF")),
TEXT(TIMEVALUE(_xlfn.TEXTBEFORE(EST!F16," - "))+TIME(12,0,0),"hh:mm")
&amp; " - " &amp;
TEXT(TIMEVALUE(_xlfn.TEXTAFTER(EST!F16," - "))+TIME(12,0,0),"hh:mm")),"OFF")</f>
        <v>10:00 - 21:00</v>
      </c>
      <c r="H16" t="str">
        <f>IFERROR(IF(EST!G16="OFF",
IF(EST!H16="OFF","OFF",
IF(VALUE(LEFT(EST!H16,2))&lt;12,
TEXT(TIMEVALUE(_xlfn.TEXTBEFORE(EST!H16," - "))+TIME(12,0,0),"hh:mm")
&amp; " - " &amp;
TEXT(TIMEVALUE(_xlfn.TEXTAFTER(EST!H16," - "))+TIME(12,0,0),"hh:mm"),
"OFF")),
TEXT(TIMEVALUE(_xlfn.TEXTBEFORE(EST!G16," - "))+TIME(12,0,0),"hh:mm")
&amp; " - " &amp;
TEXT(TIMEVALUE(_xlfn.TEXTAFTER(EST!G16," - "))+TIME(12,0,0),"hh:mm")),"OFF")</f>
        <v>OFF</v>
      </c>
      <c r="I16" t="str">
        <f t="shared" si="0"/>
        <v>Mon - Thu - Sun</v>
      </c>
      <c r="J16" s="38">
        <f>MOD(EST!J16+TIME(12,0,0),1)</f>
        <v>0.66666666666666663</v>
      </c>
      <c r="K16" s="38">
        <f>MOD(EST!K16+TIME(12,0,0),1)</f>
        <v>0.76041666666666674</v>
      </c>
      <c r="L16" s="38">
        <f>MOD(EST!L16+TIME(12,0,0),1)</f>
        <v>0.54166666666666663</v>
      </c>
      <c r="M16" s="38">
        <f>MOD(EST!M16+TIME(12,0,0),1)</f>
        <v>0.83333333333333326</v>
      </c>
      <c r="N16" t="str">
        <f>EST!N16</f>
        <v>Manilyn Abellar</v>
      </c>
    </row>
    <row r="17" spans="1:14" x14ac:dyDescent="0.25">
      <c r="A17" t="str">
        <f>EST!A17</f>
        <v>MARY JOY DELOS SANTOS</v>
      </c>
      <c r="B17" t="str">
        <f>IFERROR(IF(EST!H17="OFF",
IF(EST!B17="OFF","OFF",
IF(VALUE(LEFT(EST!B17,2))&lt;12,
TEXT(TIMEVALUE(_xlfn.TEXTBEFORE(EST!B17," - "))+TIME(12,0,0),"hh:mm")
&amp;" - "&amp;
TEXT(TIMEVALUE(_xlfn.TEXTAFTER(EST!B17," - "))+TIME(12,0,0),"hh:mm"),
"OFF")),
IF(VALUE(LEFT(EST!H17,2))&gt;=12,
TEXT(TIMEVALUE(_xlfn.TEXTBEFORE(EST!H17," - "))+TIME(12,0,0),"hh:mm")
&amp;" - "&amp;
TEXT(TIMEVALUE(_xlfn.TEXTAFTER(EST!H17," - "))+TIME(12,0,0),"hh:mm"),
"OFF")),"OFF")</f>
        <v>OFF</v>
      </c>
      <c r="C17" t="str">
        <f>IFERROR(IF(AND(EST!B17&lt;&gt;"OFF",VALUE(LEFT(EST!B17,2))&gt;=12),
TEXT(TIMEVALUE(_xlfn.TEXTBEFORE(EST!B17," - "))+TIME(12,0,0),"hh:mm")
&amp; " - " &amp;
TEXT(TIMEVALUE(_xlfn.TEXTAFTER(EST!B17," - "))+TIME(12,0,0),"hh:mm"),
IF(AND(EST!C17&lt;&gt;"OFF",VALUE(LEFT(EST!C17,2))&lt;12),
TEXT(TIMEVALUE(_xlfn.TEXTBEFORE(EST!C17," - "))+TIME(12,0,0),"hh:mm")
&amp; " - " &amp;
TEXT(TIMEVALUE(_xlfn.TEXTAFTER(EST!C17," - "))+TIME(12,0,0),"hh:mm"),
"OFF")),"OFF")</f>
        <v>10:00 - 21:00</v>
      </c>
      <c r="D17" t="str">
        <f>IFERROR(IF(AND(EST!C17&lt;&gt;"OFF",VALUE(LEFT(EST!C17,2))&gt;=12),
TEXT(TIMEVALUE(_xlfn.TEXTBEFORE(EST!C17," - "))+TIME(12,0,0),"hh:mm")
&amp; " - " &amp;
TEXT(TIMEVALUE(_xlfn.TEXTAFTER(EST!C17," - "))+TIME(12,0,0),"hh:mm"),
IF(AND(EST!D17&lt;&gt;"OFF",VALUE(LEFT(EST!D17,2))&lt;12),
TEXT(TIMEVALUE(_xlfn.TEXTBEFORE(EST!D17," - "))+TIME(12,0,0),"hh:mm")
&amp; " - " &amp;
TEXT(TIMEVALUE(_xlfn.TEXTAFTER(EST!D17," - "))+TIME(12,0,0),"hh:mm"),
"OFF")),"OFF")</f>
        <v>10:00 - 21:00</v>
      </c>
      <c r="E17" t="str">
        <f>IFERROR(IF(AND(EST!D17&lt;&gt;"OFF",VALUE(LEFT(EST!D17,2))&gt;=12),
TEXT(TIMEVALUE(_xlfn.TEXTBEFORE(EST!D17," - "))+TIME(12,0,0),"hh:mm")
&amp; " - " &amp;
TEXT(TIMEVALUE(_xlfn.TEXTAFTER(EST!D17," - "))+TIME(12,0,0),"hh:mm"),
IF(AND(EST!E17&lt;&gt;"OFF",VALUE(LEFT(EST!E17,2))&lt;12),
TEXT(TIMEVALUE(_xlfn.TEXTBEFORE(EST!E17," - "))+TIME(12,0,0),"hh:mm")
&amp; " - " &amp;
TEXT(TIMEVALUE(_xlfn.TEXTAFTER(EST!E17," - "))+TIME(12,0,0),"hh:mm"),
"OFF")),"OFF")</f>
        <v>10:00 - 21:00</v>
      </c>
      <c r="F17" t="str">
        <f>IFERROR(IF(EST!E17="OFF",
IF(EST!F17="OFF","OFF",
IF(VALUE(LEFT(EST!F17,2))&lt;12,
TEXT(TIMEVALUE(_xlfn.TEXTBEFORE(EST!F17," - "))+TIME(12,0,0),"hh:mm")
&amp; " - " &amp;
TEXT(TIMEVALUE(_xlfn.TEXTAFTER(EST!F17," - "))+TIME(12,0,0),"hh:mm"),
"OFF")),
TEXT(TIMEVALUE(_xlfn.TEXTBEFORE(EST!E17," - "))+TIME(12,0,0),"hh:mm")
&amp; " - " &amp;
TEXT(TIMEVALUE(_xlfn.TEXTAFTER(EST!E17," - "))+TIME(12,0,0),"hh:mm")),"OFF")</f>
        <v>10:00 - 21:00</v>
      </c>
      <c r="G17" t="str">
        <f>IFERROR(IF(EST!F17="OFF",
IF(EST!G17="OFF","OFF",
IF(VALUE(LEFT(EST!G17,2))&lt;12,
TEXT(TIMEVALUE(_xlfn.TEXTBEFORE(EST!G17," - "))+TIME(12,0,0),"hh:mm")
&amp; " - " &amp;
TEXT(TIMEVALUE(_xlfn.TEXTAFTER(EST!G17," - "))+TIME(12,0,0),"hh:mm"),
"OFF")),
TEXT(TIMEVALUE(_xlfn.TEXTBEFORE(EST!F17," - "))+TIME(12,0,0),"hh:mm")
&amp; " - " &amp;
TEXT(TIMEVALUE(_xlfn.TEXTAFTER(EST!F17," - "))+TIME(12,0,0),"hh:mm")),"OFF")</f>
        <v>OFF</v>
      </c>
      <c r="H17" t="str">
        <f>IFERROR(IF(EST!G17="OFF",
IF(EST!H17="OFF","OFF",
IF(VALUE(LEFT(EST!H17,2))&lt;12,
TEXT(TIMEVALUE(_xlfn.TEXTBEFORE(EST!H17," - "))+TIME(12,0,0),"hh:mm")
&amp; " - " &amp;
TEXT(TIMEVALUE(_xlfn.TEXTAFTER(EST!H17," - "))+TIME(12,0,0),"hh:mm"),
"OFF")),
TEXT(TIMEVALUE(_xlfn.TEXTBEFORE(EST!G17," - "))+TIME(12,0,0),"hh:mm")
&amp; " - " &amp;
TEXT(TIMEVALUE(_xlfn.TEXTAFTER(EST!G17," - "))+TIME(12,0,0),"hh:mm")),"OFF")</f>
        <v>OFF</v>
      </c>
      <c r="I17" t="str">
        <f t="shared" si="0"/>
        <v>Mon - Sat - Sun</v>
      </c>
      <c r="J17" s="38">
        <f>MOD(EST!J17+TIME(12,0,0),1)</f>
        <v>0.5</v>
      </c>
      <c r="K17" s="38">
        <f>MOD(EST!K17+TIME(12,0,0),1)</f>
        <v>0.69791666666666663</v>
      </c>
      <c r="L17" s="38">
        <f>MOD(EST!L17+TIME(12,0,0),1)</f>
        <v>0.59375</v>
      </c>
      <c r="M17" s="38">
        <f>MOD(EST!M17+TIME(12,0,0),1)</f>
        <v>0.80208333333333326</v>
      </c>
      <c r="N17" t="str">
        <f>EST!N17</f>
        <v>Manilyn Abellar</v>
      </c>
    </row>
    <row r="18" spans="1:14" x14ac:dyDescent="0.25">
      <c r="A18" t="str">
        <f>EST!A18</f>
        <v>JOSEPH BRIAN NAGOR</v>
      </c>
      <c r="B18" t="str">
        <f>IFERROR(IF(EST!H18="OFF",
IF(EST!B18="OFF","OFF",
IF(VALUE(LEFT(EST!B18,2))&lt;12,
TEXT(TIMEVALUE(_xlfn.TEXTBEFORE(EST!B18," - "))+TIME(12,0,0),"hh:mm")
&amp;" - "&amp;
TEXT(TIMEVALUE(_xlfn.TEXTAFTER(EST!B18," - "))+TIME(12,0,0),"hh:mm"),
"OFF")),
IF(VALUE(LEFT(EST!H18,2))&gt;=12,
TEXT(TIMEVALUE(_xlfn.TEXTBEFORE(EST!H18," - "))+TIME(12,0,0),"hh:mm")
&amp;" - "&amp;
TEXT(TIMEVALUE(_xlfn.TEXTAFTER(EST!H18," - "))+TIME(12,0,0),"hh:mm"),
"OFF")),"OFF")</f>
        <v>09:00 - 20:00</v>
      </c>
      <c r="C18" t="str">
        <f>IFERROR(IF(AND(EST!B18&lt;&gt;"OFF",VALUE(LEFT(EST!B18,2))&gt;=12),
TEXT(TIMEVALUE(_xlfn.TEXTBEFORE(EST!B18," - "))+TIME(12,0,0),"hh:mm")
&amp; " - " &amp;
TEXT(TIMEVALUE(_xlfn.TEXTAFTER(EST!B18," - "))+TIME(12,0,0),"hh:mm"),
IF(AND(EST!C18&lt;&gt;"OFF",VALUE(LEFT(EST!C18,2))&lt;12),
TEXT(TIMEVALUE(_xlfn.TEXTBEFORE(EST!C18," - "))+TIME(12,0,0),"hh:mm")
&amp; " - " &amp;
TEXT(TIMEVALUE(_xlfn.TEXTAFTER(EST!C18," - "))+TIME(12,0,0),"hh:mm"),
"OFF")),"OFF")</f>
        <v>09:00 - 20:00</v>
      </c>
      <c r="D18" t="str">
        <f>IFERROR(IF(AND(EST!C18&lt;&gt;"OFF",VALUE(LEFT(EST!C18,2))&gt;=12),
TEXT(TIMEVALUE(_xlfn.TEXTBEFORE(EST!C18," - "))+TIME(12,0,0),"hh:mm")
&amp; " - " &amp;
TEXT(TIMEVALUE(_xlfn.TEXTAFTER(EST!C18," - "))+TIME(12,0,0),"hh:mm"),
IF(AND(EST!D18&lt;&gt;"OFF",VALUE(LEFT(EST!D18,2))&lt;12),
TEXT(TIMEVALUE(_xlfn.TEXTBEFORE(EST!D18," - "))+TIME(12,0,0),"hh:mm")
&amp; " - " &amp;
TEXT(TIMEVALUE(_xlfn.TEXTAFTER(EST!D18," - "))+TIME(12,0,0),"hh:mm"),
"OFF")),"OFF")</f>
        <v>OFF</v>
      </c>
      <c r="E18" t="str">
        <f>IFERROR(IF(AND(EST!D18&lt;&gt;"OFF",VALUE(LEFT(EST!D18,2))&gt;=12),
TEXT(TIMEVALUE(_xlfn.TEXTBEFORE(EST!D18," - "))+TIME(12,0,0),"hh:mm")
&amp; " - " &amp;
TEXT(TIMEVALUE(_xlfn.TEXTAFTER(EST!D18," - "))+TIME(12,0,0),"hh:mm"),
IF(AND(EST!E18&lt;&gt;"OFF",VALUE(LEFT(EST!E18,2))&lt;12),
TEXT(TIMEVALUE(_xlfn.TEXTBEFORE(EST!E18," - "))+TIME(12,0,0),"hh:mm")
&amp; " - " &amp;
TEXT(TIMEVALUE(_xlfn.TEXTAFTER(EST!E18," - "))+TIME(12,0,0),"hh:mm"),
"OFF")),"OFF")</f>
        <v>OFF</v>
      </c>
      <c r="F18" t="str">
        <f>IFERROR(IF(EST!E18="OFF",
IF(EST!F18="OFF","OFF",
IF(VALUE(LEFT(EST!F18,2))&lt;12,
TEXT(TIMEVALUE(_xlfn.TEXTBEFORE(EST!F18," - "))+TIME(12,0,0),"hh:mm")
&amp; " - " &amp;
TEXT(TIMEVALUE(_xlfn.TEXTAFTER(EST!F18," - "))+TIME(12,0,0),"hh:mm"),
"OFF")),
TEXT(TIMEVALUE(_xlfn.TEXTBEFORE(EST!E18," - "))+TIME(12,0,0),"hh:mm")
&amp; " - " &amp;
TEXT(TIMEVALUE(_xlfn.TEXTAFTER(EST!E18," - "))+TIME(12,0,0),"hh:mm")),"OFF")</f>
        <v>09:00 - 20:00</v>
      </c>
      <c r="G18" t="str">
        <f>IFERROR(IF(EST!F18="OFF",
IF(EST!G18="OFF","OFF",
IF(VALUE(LEFT(EST!G18,2))&lt;12,
TEXT(TIMEVALUE(_xlfn.TEXTBEFORE(EST!G18," - "))+TIME(12,0,0),"hh:mm")
&amp; " - " &amp;
TEXT(TIMEVALUE(_xlfn.TEXTAFTER(EST!G18," - "))+TIME(12,0,0),"hh:mm"),
"OFF")),
TEXT(TIMEVALUE(_xlfn.TEXTBEFORE(EST!F18," - "))+TIME(12,0,0),"hh:mm")
&amp; " - " &amp;
TEXT(TIMEVALUE(_xlfn.TEXTAFTER(EST!F18," - "))+TIME(12,0,0),"hh:mm")),"OFF")</f>
        <v>09:00 - 20:00</v>
      </c>
      <c r="H18" t="str">
        <f>IFERROR(IF(EST!G18="OFF",
IF(EST!H18="OFF","OFF",
IF(VALUE(LEFT(EST!H18,2))&lt;12,
TEXT(TIMEVALUE(_xlfn.TEXTBEFORE(EST!H18," - "))+TIME(12,0,0),"hh:mm")
&amp; " - " &amp;
TEXT(TIMEVALUE(_xlfn.TEXTAFTER(EST!H18," - "))+TIME(12,0,0),"hh:mm"),
"OFF")),
TEXT(TIMEVALUE(_xlfn.TEXTBEFORE(EST!G18," - "))+TIME(12,0,0),"hh:mm")
&amp; " - " &amp;
TEXT(TIMEVALUE(_xlfn.TEXTAFTER(EST!G18," - "))+TIME(12,0,0),"hh:mm")),"OFF")</f>
        <v>OFF</v>
      </c>
      <c r="I18" t="str">
        <f t="shared" si="0"/>
        <v>Wed - Thu - Sun</v>
      </c>
      <c r="J18" s="38">
        <f>MOD(EST!J18+TIME(12,0,0),1)</f>
        <v>0.625</v>
      </c>
      <c r="K18" s="38">
        <f>MOD(EST!K18+TIME(12,0,0),1)</f>
        <v>0.71875</v>
      </c>
      <c r="L18" s="38">
        <f>MOD(EST!L18+TIME(12,0,0),1)</f>
        <v>0.5</v>
      </c>
      <c r="M18" s="38">
        <f>MOD(EST!M18+TIME(12,0,0),1)</f>
        <v>0.79166666666666674</v>
      </c>
      <c r="N18" t="str">
        <f>EST!N18</f>
        <v>Remmo Panaligan</v>
      </c>
    </row>
    <row r="19" spans="1:14" x14ac:dyDescent="0.25">
      <c r="A19" t="str">
        <f>EST!A19</f>
        <v>JIELEEN VILLEGAS</v>
      </c>
      <c r="B19" t="str">
        <f>IFERROR(IF(EST!H19="OFF",
IF(EST!B19="OFF","OFF",
IF(VALUE(LEFT(EST!B19,2))&lt;12,
TEXT(TIMEVALUE(_xlfn.TEXTBEFORE(EST!B19," - "))+TIME(12,0,0),"hh:mm")
&amp;" - "&amp;
TEXT(TIMEVALUE(_xlfn.TEXTAFTER(EST!B19," - "))+TIME(12,0,0),"hh:mm"),
"OFF")),
IF(VALUE(LEFT(EST!H19,2))&gt;=12,
TEXT(TIMEVALUE(_xlfn.TEXTBEFORE(EST!H19," - "))+TIME(12,0,0),"hh:mm")
&amp;" - "&amp;
TEXT(TIMEVALUE(_xlfn.TEXTAFTER(EST!H19," - "))+TIME(12,0,0),"hh:mm"),
"OFF")),"OFF")</f>
        <v>09:00 - 20:00</v>
      </c>
      <c r="C19" t="str">
        <f>IFERROR(IF(AND(EST!B19&lt;&gt;"OFF",VALUE(LEFT(EST!B19,2))&gt;=12),
TEXT(TIMEVALUE(_xlfn.TEXTBEFORE(EST!B19," - "))+TIME(12,0,0),"hh:mm")
&amp; " - " &amp;
TEXT(TIMEVALUE(_xlfn.TEXTAFTER(EST!B19," - "))+TIME(12,0,0),"hh:mm"),
IF(AND(EST!C19&lt;&gt;"OFF",VALUE(LEFT(EST!C19,2))&lt;12),
TEXT(TIMEVALUE(_xlfn.TEXTBEFORE(EST!C19," - "))+TIME(12,0,0),"hh:mm")
&amp; " - " &amp;
TEXT(TIMEVALUE(_xlfn.TEXTAFTER(EST!C19," - "))+TIME(12,0,0),"hh:mm"),
"OFF")),"OFF")</f>
        <v>09:00 - 20:00</v>
      </c>
      <c r="D19" t="str">
        <f>IFERROR(IF(AND(EST!C19&lt;&gt;"OFF",VALUE(LEFT(EST!C19,2))&gt;=12),
TEXT(TIMEVALUE(_xlfn.TEXTBEFORE(EST!C19," - "))+TIME(12,0,0),"hh:mm")
&amp; " - " &amp;
TEXT(TIMEVALUE(_xlfn.TEXTAFTER(EST!C19," - "))+TIME(12,0,0),"hh:mm"),
IF(AND(EST!D19&lt;&gt;"OFF",VALUE(LEFT(EST!D19,2))&lt;12),
TEXT(TIMEVALUE(_xlfn.TEXTBEFORE(EST!D19," - "))+TIME(12,0,0),"hh:mm")
&amp; " - " &amp;
TEXT(TIMEVALUE(_xlfn.TEXTAFTER(EST!D19," - "))+TIME(12,0,0),"hh:mm"),
"OFF")),"OFF")</f>
        <v>09:00 - 20:00</v>
      </c>
      <c r="E19" t="str">
        <f>IFERROR(IF(AND(EST!D19&lt;&gt;"OFF",VALUE(LEFT(EST!D19,2))&gt;=12),
TEXT(TIMEVALUE(_xlfn.TEXTBEFORE(EST!D19," - "))+TIME(12,0,0),"hh:mm")
&amp; " - " &amp;
TEXT(TIMEVALUE(_xlfn.TEXTAFTER(EST!D19," - "))+TIME(12,0,0),"hh:mm"),
IF(AND(EST!E19&lt;&gt;"OFF",VALUE(LEFT(EST!E19,2))&lt;12),
TEXT(TIMEVALUE(_xlfn.TEXTBEFORE(EST!E19," - "))+TIME(12,0,0),"hh:mm")
&amp; " - " &amp;
TEXT(TIMEVALUE(_xlfn.TEXTAFTER(EST!E19," - "))+TIME(12,0,0),"hh:mm"),
"OFF")),"OFF")</f>
        <v>OFF</v>
      </c>
      <c r="F19" t="str">
        <f>IFERROR(IF(EST!E19="OFF",
IF(EST!F19="OFF","OFF",
IF(VALUE(LEFT(EST!F19,2))&lt;12,
TEXT(TIMEVALUE(_xlfn.TEXTBEFORE(EST!F19," - "))+TIME(12,0,0),"hh:mm")
&amp; " - " &amp;
TEXT(TIMEVALUE(_xlfn.TEXTAFTER(EST!F19," - "))+TIME(12,0,0),"hh:mm"),
"OFF")),
TEXT(TIMEVALUE(_xlfn.TEXTBEFORE(EST!E19," - "))+TIME(12,0,0),"hh:mm")
&amp; " - " &amp;
TEXT(TIMEVALUE(_xlfn.TEXTAFTER(EST!E19," - "))+TIME(12,0,0),"hh:mm")),"OFF")</f>
        <v>OFF</v>
      </c>
      <c r="G19" t="str">
        <f>IFERROR(IF(EST!F19="OFF",
IF(EST!G19="OFF","OFF",
IF(VALUE(LEFT(EST!G19,2))&lt;12,
TEXT(TIMEVALUE(_xlfn.TEXTBEFORE(EST!G19," - "))+TIME(12,0,0),"hh:mm")
&amp; " - " &amp;
TEXT(TIMEVALUE(_xlfn.TEXTAFTER(EST!G19," - "))+TIME(12,0,0),"hh:mm"),
"OFF")),
TEXT(TIMEVALUE(_xlfn.TEXTBEFORE(EST!F19," - "))+TIME(12,0,0),"hh:mm")
&amp; " - " &amp;
TEXT(TIMEVALUE(_xlfn.TEXTAFTER(EST!F19," - "))+TIME(12,0,0),"hh:mm")),"OFF")</f>
        <v>OFF</v>
      </c>
      <c r="H19" t="str">
        <f>IFERROR(IF(EST!G19="OFF",
IF(EST!H19="OFF","OFF",
IF(VALUE(LEFT(EST!H19,2))&lt;12,
TEXT(TIMEVALUE(_xlfn.TEXTBEFORE(EST!H19," - "))+TIME(12,0,0),"hh:mm")
&amp; " - " &amp;
TEXT(TIMEVALUE(_xlfn.TEXTAFTER(EST!H19," - "))+TIME(12,0,0),"hh:mm"),
"OFF")),
TEXT(TIMEVALUE(_xlfn.TEXTBEFORE(EST!G19," - "))+TIME(12,0,0),"hh:mm")
&amp; " - " &amp;
TEXT(TIMEVALUE(_xlfn.TEXTAFTER(EST!G19," - "))+TIME(12,0,0),"hh:mm")),"OFF")</f>
        <v>09:00 - 20:00</v>
      </c>
      <c r="I19" t="str">
        <f t="shared" ref="I19:I59" si="1">_xlfn.TEXTJOIN(" - ",TRUE,
IF(B19="OFF","Mon",""),
IF(C19="OFF","Tue",""),
IF(D19="OFF","Wed",""),
IF(E19="OFF","Thu",""),
IF(F19="OFF","Fri",""),
IF(G19="OFF","Sat",""),
IF(H19="OFF","Sun",""))</f>
        <v>Thu - Fri - Sat</v>
      </c>
      <c r="J19" s="38">
        <f>MOD(EST!J19+TIME(12,0,0),1)</f>
        <v>0.45833333333333348</v>
      </c>
      <c r="K19" s="38">
        <f>MOD(EST!K19+TIME(12,0,0),1)</f>
        <v>0.5625</v>
      </c>
      <c r="L19" s="38">
        <f>MOD(EST!L19+TIME(12,0,0),1)</f>
        <v>0.66666666666666663</v>
      </c>
      <c r="M19" s="38">
        <f>MOD(EST!M19+TIME(12,0,0),1)</f>
        <v>0.79166666666666674</v>
      </c>
      <c r="N19" t="str">
        <f>EST!N19</f>
        <v>Anmecha Valencia</v>
      </c>
    </row>
    <row r="20" spans="1:14" x14ac:dyDescent="0.25">
      <c r="A20" t="str">
        <f>EST!A20</f>
        <v>FRANCIS BAJAO</v>
      </c>
      <c r="B20" t="str">
        <f>IFERROR(IF(EST!H20="OFF",
IF(EST!B20="OFF","OFF",
IF(VALUE(LEFT(EST!B20,2))&lt;12,
TEXT(TIMEVALUE(_xlfn.TEXTBEFORE(EST!B20," - "))+TIME(12,0,0),"hh:mm")
&amp;" - "&amp;
TEXT(TIMEVALUE(_xlfn.TEXTAFTER(EST!B20," - "))+TIME(12,0,0),"hh:mm"),
"OFF")),
IF(VALUE(LEFT(EST!H20,2))&gt;=12,
TEXT(TIMEVALUE(_xlfn.TEXTBEFORE(EST!H20," - "))+TIME(12,0,0),"hh:mm")
&amp;" - "&amp;
TEXT(TIMEVALUE(_xlfn.TEXTAFTER(EST!H20," - "))+TIME(12,0,0),"hh:mm"),
"OFF")),"OFF")</f>
        <v>06:00 - 17:00</v>
      </c>
      <c r="C20" t="str">
        <f>IFERROR(IF(AND(EST!B20&lt;&gt;"OFF",VALUE(LEFT(EST!B20,2))&gt;=12),
TEXT(TIMEVALUE(_xlfn.TEXTBEFORE(EST!B20," - "))+TIME(12,0,0),"hh:mm")
&amp; " - " &amp;
TEXT(TIMEVALUE(_xlfn.TEXTAFTER(EST!B20," - "))+TIME(12,0,0),"hh:mm"),
IF(AND(EST!C20&lt;&gt;"OFF",VALUE(LEFT(EST!C20,2))&lt;12),
TEXT(TIMEVALUE(_xlfn.TEXTBEFORE(EST!C20," - "))+TIME(12,0,0),"hh:mm")
&amp; " - " &amp;
TEXT(TIMEVALUE(_xlfn.TEXTAFTER(EST!C20," - "))+TIME(12,0,0),"hh:mm"),
"OFF")),"OFF")</f>
        <v>06:00 - 17:00</v>
      </c>
      <c r="D20" t="str">
        <f>IFERROR(IF(AND(EST!C20&lt;&gt;"OFF",VALUE(LEFT(EST!C20,2))&gt;=12),
TEXT(TIMEVALUE(_xlfn.TEXTBEFORE(EST!C20," - "))+TIME(12,0,0),"hh:mm")
&amp; " - " &amp;
TEXT(TIMEVALUE(_xlfn.TEXTAFTER(EST!C20," - "))+TIME(12,0,0),"hh:mm"),
IF(AND(EST!D20&lt;&gt;"OFF",VALUE(LEFT(EST!D20,2))&lt;12),
TEXT(TIMEVALUE(_xlfn.TEXTBEFORE(EST!D20," - "))+TIME(12,0,0),"hh:mm")
&amp; " - " &amp;
TEXT(TIMEVALUE(_xlfn.TEXTAFTER(EST!D20," - "))+TIME(12,0,0),"hh:mm"),
"OFF")),"OFF")</f>
        <v>06:00 - 17:00</v>
      </c>
      <c r="E20" t="str">
        <f>IFERROR(IF(AND(EST!D20&lt;&gt;"OFF",VALUE(LEFT(EST!D20,2))&gt;=12),
TEXT(TIMEVALUE(_xlfn.TEXTBEFORE(EST!D20," - "))+TIME(12,0,0),"hh:mm")
&amp; " - " &amp;
TEXT(TIMEVALUE(_xlfn.TEXTAFTER(EST!D20," - "))+TIME(12,0,0),"hh:mm"),
IF(AND(EST!E20&lt;&gt;"OFF",VALUE(LEFT(EST!E20,2))&lt;12),
TEXT(TIMEVALUE(_xlfn.TEXTBEFORE(EST!E20," - "))+TIME(12,0,0),"hh:mm")
&amp; " - " &amp;
TEXT(TIMEVALUE(_xlfn.TEXTAFTER(EST!E20," - "))+TIME(12,0,0),"hh:mm"),
"OFF")),"OFF")</f>
        <v>OFF</v>
      </c>
      <c r="F20" t="str">
        <f>IFERROR(IF(EST!E20="OFF",
IF(EST!F20="OFF","OFF",
IF(VALUE(LEFT(EST!F20,2))&lt;12,
TEXT(TIMEVALUE(_xlfn.TEXTBEFORE(EST!F20," - "))+TIME(12,0,0),"hh:mm")
&amp; " - " &amp;
TEXT(TIMEVALUE(_xlfn.TEXTAFTER(EST!F20," - "))+TIME(12,0,0),"hh:mm"),
"OFF")),
TEXT(TIMEVALUE(_xlfn.TEXTBEFORE(EST!E20," - "))+TIME(12,0,0),"hh:mm")
&amp; " - " &amp;
TEXT(TIMEVALUE(_xlfn.TEXTAFTER(EST!E20," - "))+TIME(12,0,0),"hh:mm")),"OFF")</f>
        <v>OFF</v>
      </c>
      <c r="G20" t="str">
        <f>IFERROR(IF(EST!F20="OFF",
IF(EST!G20="OFF","OFF",
IF(VALUE(LEFT(EST!G20,2))&lt;12,
TEXT(TIMEVALUE(_xlfn.TEXTBEFORE(EST!G20," - "))+TIME(12,0,0),"hh:mm")
&amp; " - " &amp;
TEXT(TIMEVALUE(_xlfn.TEXTAFTER(EST!G20," - "))+TIME(12,0,0),"hh:mm"),
"OFF")),
TEXT(TIMEVALUE(_xlfn.TEXTBEFORE(EST!F20," - "))+TIME(12,0,0),"hh:mm")
&amp; " - " &amp;
TEXT(TIMEVALUE(_xlfn.TEXTAFTER(EST!F20," - "))+TIME(12,0,0),"hh:mm")),"OFF")</f>
        <v>06:00 - 17:00</v>
      </c>
      <c r="H20" t="str">
        <f>IFERROR(IF(EST!G20="OFF",
IF(EST!H20="OFF","OFF",
IF(VALUE(LEFT(EST!H20,2))&lt;12,
TEXT(TIMEVALUE(_xlfn.TEXTBEFORE(EST!H20," - "))+TIME(12,0,0),"hh:mm")
&amp; " - " &amp;
TEXT(TIMEVALUE(_xlfn.TEXTAFTER(EST!H20," - "))+TIME(12,0,0),"hh:mm"),
"OFF")),
TEXT(TIMEVALUE(_xlfn.TEXTBEFORE(EST!G20," - "))+TIME(12,0,0),"hh:mm")
&amp; " - " &amp;
TEXT(TIMEVALUE(_xlfn.TEXTAFTER(EST!G20," - "))+TIME(12,0,0),"hh:mm")),"OFF")</f>
        <v>OFF</v>
      </c>
      <c r="I20" t="str">
        <f t="shared" si="1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</row>
    <row r="21" spans="1:14" x14ac:dyDescent="0.25">
      <c r="A21" t="str">
        <f>EST!A21</f>
        <v>RAQUELA NICOLE LARETA</v>
      </c>
      <c r="B21" t="str">
        <f>IFERROR(IF(EST!H21="OFF",
IF(EST!B21="OFF","OFF",
IF(VALUE(LEFT(EST!B21,2))&lt;12,
TEXT(TIMEVALUE(_xlfn.TEXTBEFORE(EST!B21," - "))+TIME(12,0,0),"hh:mm")
&amp;" - "&amp;
TEXT(TIMEVALUE(_xlfn.TEXTAFTER(EST!B21," - "))+TIME(12,0,0),"hh:mm"),
"OFF")),
IF(VALUE(LEFT(EST!H21,2))&gt;=12,
TEXT(TIMEVALUE(_xlfn.TEXTBEFORE(EST!H21," - "))+TIME(12,0,0),"hh:mm")
&amp;" - "&amp;
TEXT(TIMEVALUE(_xlfn.TEXTAFTER(EST!H21," - "))+TIME(12,0,0),"hh:mm"),
"OFF")),"OFF")</f>
        <v>05:00 - 16:00</v>
      </c>
      <c r="C21" t="str">
        <f>IFERROR(IF(AND(EST!B21&lt;&gt;"OFF",VALUE(LEFT(EST!B21,2))&gt;=12),
TEXT(TIMEVALUE(_xlfn.TEXTBEFORE(EST!B21," - "))+TIME(12,0,0),"hh:mm")
&amp; " - " &amp;
TEXT(TIMEVALUE(_xlfn.TEXTAFTER(EST!B21," - "))+TIME(12,0,0),"hh:mm"),
IF(AND(EST!C21&lt;&gt;"OFF",VALUE(LEFT(EST!C21,2))&lt;12),
TEXT(TIMEVALUE(_xlfn.TEXTBEFORE(EST!C21," - "))+TIME(12,0,0),"hh:mm")
&amp; " - " &amp;
TEXT(TIMEVALUE(_xlfn.TEXTAFTER(EST!C21," - "))+TIME(12,0,0),"hh:mm"),
"OFF")),"OFF")</f>
        <v>05:00 - 16:00</v>
      </c>
      <c r="D21" t="str">
        <f>IFERROR(IF(AND(EST!C21&lt;&gt;"OFF",VALUE(LEFT(EST!C21,2))&gt;=12),
TEXT(TIMEVALUE(_xlfn.TEXTBEFORE(EST!C21," - "))+TIME(12,0,0),"hh:mm")
&amp; " - " &amp;
TEXT(TIMEVALUE(_xlfn.TEXTAFTER(EST!C21," - "))+TIME(12,0,0),"hh:mm"),
IF(AND(EST!D21&lt;&gt;"OFF",VALUE(LEFT(EST!D21,2))&lt;12),
TEXT(TIMEVALUE(_xlfn.TEXTBEFORE(EST!D21," - "))+TIME(12,0,0),"hh:mm")
&amp; " - " &amp;
TEXT(TIMEVALUE(_xlfn.TEXTAFTER(EST!D21," - "))+TIME(12,0,0),"hh:mm"),
"OFF")),"OFF")</f>
        <v>05:00 - 16:00</v>
      </c>
      <c r="E21" t="str">
        <f>IFERROR(IF(AND(EST!D21&lt;&gt;"OFF",VALUE(LEFT(EST!D21,2))&gt;=12),
TEXT(TIMEVALUE(_xlfn.TEXTBEFORE(EST!D21," - "))+TIME(12,0,0),"hh:mm")
&amp; " - " &amp;
TEXT(TIMEVALUE(_xlfn.TEXTAFTER(EST!D21," - "))+TIME(12,0,0),"hh:mm"),
IF(AND(EST!E21&lt;&gt;"OFF",VALUE(LEFT(EST!E21,2))&lt;12),
TEXT(TIMEVALUE(_xlfn.TEXTBEFORE(EST!E21," - "))+TIME(12,0,0),"hh:mm")
&amp; " - " &amp;
TEXT(TIMEVALUE(_xlfn.TEXTAFTER(EST!E21," - "))+TIME(12,0,0),"hh:mm"),
"OFF")),"OFF")</f>
        <v>05:00 - 16:00</v>
      </c>
      <c r="F21" t="str">
        <f>IFERROR(IF(EST!E21="OFF",
IF(EST!F21="OFF","OFF",
IF(VALUE(LEFT(EST!F21,2))&lt;12,
TEXT(TIMEVALUE(_xlfn.TEXTBEFORE(EST!F21," - "))+TIME(12,0,0),"hh:mm")
&amp; " - " &amp;
TEXT(TIMEVALUE(_xlfn.TEXTAFTER(EST!F21," - "))+TIME(12,0,0),"hh:mm"),
"OFF")),
TEXT(TIMEVALUE(_xlfn.TEXTBEFORE(EST!E21," - "))+TIME(12,0,0),"hh:mm")
&amp; " - " &amp;
TEXT(TIMEVALUE(_xlfn.TEXTAFTER(EST!E21," - "))+TIME(12,0,0),"hh:mm")),"OFF")</f>
        <v>OFF</v>
      </c>
      <c r="G21" t="str">
        <f>IFERROR(IF(EST!F21="OFF",
IF(EST!G21="OFF","OFF",
IF(VALUE(LEFT(EST!G21,2))&lt;12,
TEXT(TIMEVALUE(_xlfn.TEXTBEFORE(EST!G21," - "))+TIME(12,0,0),"hh:mm")
&amp; " - " &amp;
TEXT(TIMEVALUE(_xlfn.TEXTAFTER(EST!G21," - "))+TIME(12,0,0),"hh:mm"),
"OFF")),
TEXT(TIMEVALUE(_xlfn.TEXTBEFORE(EST!F21," - "))+TIME(12,0,0),"hh:mm")
&amp; " - " &amp;
TEXT(TIMEVALUE(_xlfn.TEXTAFTER(EST!F21," - "))+TIME(12,0,0),"hh:mm")),"OFF")</f>
        <v>OFF</v>
      </c>
      <c r="H21" t="str">
        <f>IFERROR(IF(EST!G21="OFF",
IF(EST!H21="OFF","OFF",
IF(VALUE(LEFT(EST!H21,2))&lt;12,
TEXT(TIMEVALUE(_xlfn.TEXTBEFORE(EST!H21," - "))+TIME(12,0,0),"hh:mm")
&amp; " - " &amp;
TEXT(TIMEVALUE(_xlfn.TEXTAFTER(EST!H21," - "))+TIME(12,0,0),"hh:mm"),
"OFF")),
TEXT(TIMEVALUE(_xlfn.TEXTBEFORE(EST!G21," - "))+TIME(12,0,0),"hh:mm")
&amp; " - " &amp;
TEXT(TIMEVALUE(_xlfn.TEXTAFTER(EST!G21," - "))+TIME(12,0,0),"hh:mm")),"OFF")</f>
        <v>OFF</v>
      </c>
      <c r="I21" t="str">
        <f t="shared" si="1"/>
        <v>Fri - Sat - Sun</v>
      </c>
      <c r="J21" s="38">
        <f>MOD(EST!J21+TIME(12,0,0),1)</f>
        <v>0.3125</v>
      </c>
      <c r="K21" s="38">
        <f>MOD(EST!K21+TIME(12,0,0),1)</f>
        <v>0.51041666666666663</v>
      </c>
      <c r="L21" s="38">
        <f>MOD(EST!L21+TIME(12,0,0),1)</f>
        <v>0.39583333333333348</v>
      </c>
      <c r="M21" s="38">
        <f>MOD(EST!M21+TIME(12,0,0),1)</f>
        <v>0.61458333333333337</v>
      </c>
      <c r="N21" t="str">
        <f>EST!N21</f>
        <v>Christopher Rodas</v>
      </c>
    </row>
    <row r="22" spans="1:14" x14ac:dyDescent="0.25">
      <c r="A22" t="str">
        <f>EST!A22</f>
        <v>ALEC CHRISTIAN PALABAY</v>
      </c>
      <c r="B22" t="str">
        <f>IFERROR(IF(EST!H22="OFF",
IF(EST!B22="OFF","OFF",
IF(VALUE(LEFT(EST!B22,2))&lt;12,
TEXT(TIMEVALUE(_xlfn.TEXTBEFORE(EST!B22," - "))+TIME(12,0,0),"hh:mm")
&amp;" - "&amp;
TEXT(TIMEVALUE(_xlfn.TEXTAFTER(EST!B22," - "))+TIME(12,0,0),"hh:mm"),
"OFF")),
IF(VALUE(LEFT(EST!H22,2))&gt;=12,
TEXT(TIMEVALUE(_xlfn.TEXTBEFORE(EST!H22," - "))+TIME(12,0,0),"hh:mm")
&amp;" - "&amp;
TEXT(TIMEVALUE(_xlfn.TEXTAFTER(EST!H22," - "))+TIME(12,0,0),"hh:mm"),
"OFF")),"OFF")</f>
        <v>01:00 - 12:00</v>
      </c>
      <c r="C22" t="str">
        <f>IFERROR(IF(AND(EST!B22&lt;&gt;"OFF",VALUE(LEFT(EST!B22,2))&gt;=12),
TEXT(TIMEVALUE(_xlfn.TEXTBEFORE(EST!B22," - "))+TIME(12,0,0),"hh:mm")
&amp; " - " &amp;
TEXT(TIMEVALUE(_xlfn.TEXTAFTER(EST!B22," - "))+TIME(12,0,0),"hh:mm"),
IF(AND(EST!C22&lt;&gt;"OFF",VALUE(LEFT(EST!C22,2))&lt;12),
TEXT(TIMEVALUE(_xlfn.TEXTBEFORE(EST!C22," - "))+TIME(12,0,0),"hh:mm")
&amp; " - " &amp;
TEXT(TIMEVALUE(_xlfn.TEXTAFTER(EST!C22," - "))+TIME(12,0,0),"hh:mm"),
"OFF")),"OFF")</f>
        <v>01:00 - 12:00</v>
      </c>
      <c r="D22" t="str">
        <f>IFERROR(IF(AND(EST!C22&lt;&gt;"OFF",VALUE(LEFT(EST!C22,2))&gt;=12),
TEXT(TIMEVALUE(_xlfn.TEXTBEFORE(EST!C22," - "))+TIME(12,0,0),"hh:mm")
&amp; " - " &amp;
TEXT(TIMEVALUE(_xlfn.TEXTAFTER(EST!C22," - "))+TIME(12,0,0),"hh:mm"),
IF(AND(EST!D22&lt;&gt;"OFF",VALUE(LEFT(EST!D22,2))&lt;12),
TEXT(TIMEVALUE(_xlfn.TEXTBEFORE(EST!D22," - "))+TIME(12,0,0),"hh:mm")
&amp; " - " &amp;
TEXT(TIMEVALUE(_xlfn.TEXTAFTER(EST!D22," - "))+TIME(12,0,0),"hh:mm"),
"OFF")),"OFF")</f>
        <v>01:00 - 12:00</v>
      </c>
      <c r="E22" t="str">
        <f>IFERROR(IF(AND(EST!D22&lt;&gt;"OFF",VALUE(LEFT(EST!D22,2))&gt;=12),
TEXT(TIMEVALUE(_xlfn.TEXTBEFORE(EST!D22," - "))+TIME(12,0,0),"hh:mm")
&amp; " - " &amp;
TEXT(TIMEVALUE(_xlfn.TEXTAFTER(EST!D22," - "))+TIME(12,0,0),"hh:mm"),
IF(AND(EST!E22&lt;&gt;"OFF",VALUE(LEFT(EST!E22,2))&lt;12),
TEXT(TIMEVALUE(_xlfn.TEXTBEFORE(EST!E22," - "))+TIME(12,0,0),"hh:mm")
&amp; " - " &amp;
TEXT(TIMEVALUE(_xlfn.TEXTAFTER(EST!E22," - "))+TIME(12,0,0),"hh:mm"),
"OFF")),"OFF")</f>
        <v>01:00 - 12:00</v>
      </c>
      <c r="F22" t="str">
        <f>IFERROR(IF(EST!E22="OFF",
IF(EST!F22="OFF","OFF",
IF(VALUE(LEFT(EST!F22,2))&lt;12,
TEXT(TIMEVALUE(_xlfn.TEXTBEFORE(EST!F22," - "))+TIME(12,0,0),"hh:mm")
&amp; " - " &amp;
TEXT(TIMEVALUE(_xlfn.TEXTAFTER(EST!F22," - "))+TIME(12,0,0),"hh:mm"),
"OFF")),
TEXT(TIMEVALUE(_xlfn.TEXTBEFORE(EST!E22," - "))+TIME(12,0,0),"hh:mm")
&amp; " - " &amp;
TEXT(TIMEVALUE(_xlfn.TEXTAFTER(EST!E22," - "))+TIME(12,0,0),"hh:mm")),"OFF")</f>
        <v>OFF</v>
      </c>
      <c r="G22" t="str">
        <f>IFERROR(IF(EST!F22="OFF",
IF(EST!G22="OFF","OFF",
IF(VALUE(LEFT(EST!G22,2))&lt;12,
TEXT(TIMEVALUE(_xlfn.TEXTBEFORE(EST!G22," - "))+TIME(12,0,0),"hh:mm")
&amp; " - " &amp;
TEXT(TIMEVALUE(_xlfn.TEXTAFTER(EST!G22," - "))+TIME(12,0,0),"hh:mm"),
"OFF")),
TEXT(TIMEVALUE(_xlfn.TEXTBEFORE(EST!F22," - "))+TIME(12,0,0),"hh:mm")
&amp; " - " &amp;
TEXT(TIMEVALUE(_xlfn.TEXTAFTER(EST!F22," - "))+TIME(12,0,0),"hh:mm")),"OFF")</f>
        <v>OFF</v>
      </c>
      <c r="H22" t="str">
        <f>IFERROR(IF(EST!G22="OFF",
IF(EST!H22="OFF","OFF",
IF(VALUE(LEFT(EST!H22,2))&lt;12,
TEXT(TIMEVALUE(_xlfn.TEXTBEFORE(EST!H22," - "))+TIME(12,0,0),"hh:mm")
&amp; " - " &amp;
TEXT(TIMEVALUE(_xlfn.TEXTAFTER(EST!H22," - "))+TIME(12,0,0),"hh:mm"),
"OFF")),
TEXT(TIMEVALUE(_xlfn.TEXTBEFORE(EST!G22," - "))+TIME(12,0,0),"hh:mm")
&amp; " - " &amp;
TEXT(TIMEVALUE(_xlfn.TEXTAFTER(EST!G22," - "))+TIME(12,0,0),"hh:mm")),"OFF")</f>
        <v>OFF</v>
      </c>
      <c r="I22" t="str">
        <f t="shared" si="1"/>
        <v>Fri - Sat - Sun</v>
      </c>
      <c r="J22" s="38">
        <f>MOD(EST!J22+TIME(12,0,0),1)</f>
        <v>0.11458333333333348</v>
      </c>
      <c r="K22" s="38">
        <f>MOD(EST!K22+TIME(12,0,0),1)</f>
        <v>0.3125</v>
      </c>
      <c r="L22" s="38">
        <f>MOD(EST!L22+TIME(12,0,0),1)</f>
        <v>0.1875</v>
      </c>
      <c r="M22" s="38">
        <f>MOD(EST!M22+TIME(12,0,0),1)</f>
        <v>0.41666666666666652</v>
      </c>
      <c r="N22" t="str">
        <f>EST!N22</f>
        <v>Remmo Panaligan</v>
      </c>
    </row>
    <row r="23" spans="1:14" x14ac:dyDescent="0.25">
      <c r="A23" t="str">
        <f>EST!A23</f>
        <v>JOSEPHRAIM LAMOSTE</v>
      </c>
      <c r="B23" t="str">
        <f>IFERROR(IF(EST!H23="OFF",
IF(EST!B23="OFF","OFF",
IF(VALUE(LEFT(EST!B23,2))&lt;12,
TEXT(TIMEVALUE(_xlfn.TEXTBEFORE(EST!B23," - "))+TIME(12,0,0),"hh:mm")
&amp;" - "&amp;
TEXT(TIMEVALUE(_xlfn.TEXTAFTER(EST!B23," - "))+TIME(12,0,0),"hh:mm"),
"OFF")),
IF(VALUE(LEFT(EST!H23,2))&gt;=12,
TEXT(TIMEVALUE(_xlfn.TEXTBEFORE(EST!H23," - "))+TIME(12,0,0),"hh:mm")
&amp;" - "&amp;
TEXT(TIMEVALUE(_xlfn.TEXTAFTER(EST!H23," - "))+TIME(12,0,0),"hh:mm"),
"OFF")),"OFF")</f>
        <v>OFF</v>
      </c>
      <c r="C23" t="str">
        <f>IFERROR(IF(AND(EST!B23&lt;&gt;"OFF",VALUE(LEFT(EST!B23,2))&gt;=12),
TEXT(TIMEVALUE(_xlfn.TEXTBEFORE(EST!B23," - "))+TIME(12,0,0),"hh:mm")
&amp; " - " &amp;
TEXT(TIMEVALUE(_xlfn.TEXTAFTER(EST!B23," - "))+TIME(12,0,0),"hh:mm"),
IF(AND(EST!C23&lt;&gt;"OFF",VALUE(LEFT(EST!C23,2))&lt;12),
TEXT(TIMEVALUE(_xlfn.TEXTBEFORE(EST!C23," - "))+TIME(12,0,0),"hh:mm")
&amp; " - " &amp;
TEXT(TIMEVALUE(_xlfn.TEXTAFTER(EST!C23," - "))+TIME(12,0,0),"hh:mm"),
"OFF")),"OFF")</f>
        <v>01:00 - 12:00</v>
      </c>
      <c r="D23" t="str">
        <f>IFERROR(IF(AND(EST!C23&lt;&gt;"OFF",VALUE(LEFT(EST!C23,2))&gt;=12),
TEXT(TIMEVALUE(_xlfn.TEXTBEFORE(EST!C23," - "))+TIME(12,0,0),"hh:mm")
&amp; " - " &amp;
TEXT(TIMEVALUE(_xlfn.TEXTAFTER(EST!C23," - "))+TIME(12,0,0),"hh:mm"),
IF(AND(EST!D23&lt;&gt;"OFF",VALUE(LEFT(EST!D23,2))&lt;12),
TEXT(TIMEVALUE(_xlfn.TEXTBEFORE(EST!D23," - "))+TIME(12,0,0),"hh:mm")
&amp; " - " &amp;
TEXT(TIMEVALUE(_xlfn.TEXTAFTER(EST!D23," - "))+TIME(12,0,0),"hh:mm"),
"OFF")),"OFF")</f>
        <v>01:00 - 12:00</v>
      </c>
      <c r="E23" t="str">
        <f>IFERROR(IF(AND(EST!D23&lt;&gt;"OFF",VALUE(LEFT(EST!D23,2))&gt;=12),
TEXT(TIMEVALUE(_xlfn.TEXTBEFORE(EST!D23," - "))+TIME(12,0,0),"hh:mm")
&amp; " - " &amp;
TEXT(TIMEVALUE(_xlfn.TEXTAFTER(EST!D23," - "))+TIME(12,0,0),"hh:mm"),
IF(AND(EST!E23&lt;&gt;"OFF",VALUE(LEFT(EST!E23,2))&lt;12),
TEXT(TIMEVALUE(_xlfn.TEXTBEFORE(EST!E23," - "))+TIME(12,0,0),"hh:mm")
&amp; " - " &amp;
TEXT(TIMEVALUE(_xlfn.TEXTAFTER(EST!E23," - "))+TIME(12,0,0),"hh:mm"),
"OFF")),"OFF")</f>
        <v>01:00 - 12:00</v>
      </c>
      <c r="F23" t="str">
        <f>IFERROR(IF(EST!E23="OFF",
IF(EST!F23="OFF","OFF",
IF(VALUE(LEFT(EST!F23,2))&lt;12,
TEXT(TIMEVALUE(_xlfn.TEXTBEFORE(EST!F23," - "))+TIME(12,0,0),"hh:mm")
&amp; " - " &amp;
TEXT(TIMEVALUE(_xlfn.TEXTAFTER(EST!F23," - "))+TIME(12,0,0),"hh:mm"),
"OFF")),
TEXT(TIMEVALUE(_xlfn.TEXTBEFORE(EST!E23," - "))+TIME(12,0,0),"hh:mm")
&amp; " - " &amp;
TEXT(TIMEVALUE(_xlfn.TEXTAFTER(EST!E23," - "))+TIME(12,0,0),"hh:mm")),"OFF")</f>
        <v>01:00 - 12:00</v>
      </c>
      <c r="G23" t="str">
        <f>IFERROR(IF(EST!F23="OFF",
IF(EST!G23="OFF","OFF",
IF(VALUE(LEFT(EST!G23,2))&lt;12,
TEXT(TIMEVALUE(_xlfn.TEXTBEFORE(EST!G23," - "))+TIME(12,0,0),"hh:mm")
&amp; " - " &amp;
TEXT(TIMEVALUE(_xlfn.TEXTAFTER(EST!G23," - "))+TIME(12,0,0),"hh:mm"),
"OFF")),
TEXT(TIMEVALUE(_xlfn.TEXTBEFORE(EST!F23," - "))+TIME(12,0,0),"hh:mm")
&amp; " - " &amp;
TEXT(TIMEVALUE(_xlfn.TEXTAFTER(EST!F23," - "))+TIME(12,0,0),"hh:mm")),"OFF")</f>
        <v>OFF</v>
      </c>
      <c r="H23" t="str">
        <f>IFERROR(IF(EST!G23="OFF",
IF(EST!H23="OFF","OFF",
IF(VALUE(LEFT(EST!H23,2))&lt;12,
TEXT(TIMEVALUE(_xlfn.TEXTBEFORE(EST!H23," - "))+TIME(12,0,0),"hh:mm")
&amp; " - " &amp;
TEXT(TIMEVALUE(_xlfn.TEXTAFTER(EST!H23," - "))+TIME(12,0,0),"hh:mm"),
"OFF")),
TEXT(TIMEVALUE(_xlfn.TEXTBEFORE(EST!G23," - "))+TIME(12,0,0),"hh:mm")
&amp; " - " &amp;
TEXT(TIMEVALUE(_xlfn.TEXTAFTER(EST!G23," - "))+TIME(12,0,0),"hh:mm")),"OFF")</f>
        <v>OFF</v>
      </c>
      <c r="I23" t="str">
        <f t="shared" si="1"/>
        <v>Mon - Sat - Sun</v>
      </c>
      <c r="J23" s="38">
        <f>MOD(EST!J23+TIME(12,0,0),1)</f>
        <v>0.125</v>
      </c>
      <c r="K23" s="38">
        <f>MOD(EST!K23+TIME(12,0,0),1)</f>
        <v>0.375</v>
      </c>
      <c r="L23" s="38">
        <f>MOD(EST!L23+TIME(12,0,0),1)</f>
        <v>0.25</v>
      </c>
      <c r="M23" s="38">
        <f>MOD(EST!M23+TIME(12,0,0),1)</f>
        <v>0.47916666666666652</v>
      </c>
      <c r="N23" t="str">
        <f>EST!N23</f>
        <v>Manilyn Abellar</v>
      </c>
    </row>
    <row r="24" spans="1:14" x14ac:dyDescent="0.25">
      <c r="A24" t="str">
        <f>EST!A24</f>
        <v>DHARLYN GREJ ESTILLORE</v>
      </c>
      <c r="B24" t="str">
        <f>IFERROR(IF(EST!H24="OFF",
IF(EST!B24="OFF","OFF",
IF(VALUE(LEFT(EST!B24,2))&lt;12,
TEXT(TIMEVALUE(_xlfn.TEXTBEFORE(EST!B24," - "))+TIME(12,0,0),"hh:mm")
&amp;" - "&amp;
TEXT(TIMEVALUE(_xlfn.TEXTAFTER(EST!B24," - "))+TIME(12,0,0),"hh:mm"),
"OFF")),
IF(VALUE(LEFT(EST!H24,2))&gt;=12,
TEXT(TIMEVALUE(_xlfn.TEXTBEFORE(EST!H24," - "))+TIME(12,0,0),"hh:mm")
&amp;" - "&amp;
TEXT(TIMEVALUE(_xlfn.TEXTAFTER(EST!H24," - "))+TIME(12,0,0),"hh:mm"),
"OFF")),"OFF")</f>
        <v>23:00 - 10:00</v>
      </c>
      <c r="C24" t="str">
        <f>IFERROR(IF(AND(EST!B24&lt;&gt;"OFF",VALUE(LEFT(EST!B24,2))&gt;=12),
TEXT(TIMEVALUE(_xlfn.TEXTBEFORE(EST!B24," - "))+TIME(12,0,0),"hh:mm")
&amp; " - " &amp;
TEXT(TIMEVALUE(_xlfn.TEXTAFTER(EST!B24," - "))+TIME(12,0,0),"hh:mm"),
IF(AND(EST!C24&lt;&gt;"OFF",VALUE(LEFT(EST!C24,2))&lt;12),
TEXT(TIMEVALUE(_xlfn.TEXTBEFORE(EST!C24," - "))+TIME(12,0,0),"hh:mm")
&amp; " - " &amp;
TEXT(TIMEVALUE(_xlfn.TEXTAFTER(EST!C24," - "))+TIME(12,0,0),"hh:mm"),
"OFF")),"OFF")</f>
        <v>23:00 - 10:00</v>
      </c>
      <c r="D24" t="str">
        <f>IFERROR(IF(AND(EST!C24&lt;&gt;"OFF",VALUE(LEFT(EST!C24,2))&gt;=12),
TEXT(TIMEVALUE(_xlfn.TEXTBEFORE(EST!C24," - "))+TIME(12,0,0),"hh:mm")
&amp; " - " &amp;
TEXT(TIMEVALUE(_xlfn.TEXTAFTER(EST!C24," - "))+TIME(12,0,0),"hh:mm"),
IF(AND(EST!D24&lt;&gt;"OFF",VALUE(LEFT(EST!D24,2))&lt;12),
TEXT(TIMEVALUE(_xlfn.TEXTBEFORE(EST!D24," - "))+TIME(12,0,0),"hh:mm")
&amp; " - " &amp;
TEXT(TIMEVALUE(_xlfn.TEXTAFTER(EST!D24," - "))+TIME(12,0,0),"hh:mm"),
"OFF")),"OFF")</f>
        <v>23:00 - 10:00</v>
      </c>
      <c r="E24" t="str">
        <f>IFERROR(IF(AND(EST!D24&lt;&gt;"OFF",VALUE(LEFT(EST!D24,2))&gt;=12),
TEXT(TIMEVALUE(_xlfn.TEXTBEFORE(EST!D24," - "))+TIME(12,0,0),"hh:mm")
&amp; " - " &amp;
TEXT(TIMEVALUE(_xlfn.TEXTAFTER(EST!D24," - "))+TIME(12,0,0),"hh:mm"),
IF(AND(EST!E24&lt;&gt;"OFF",VALUE(LEFT(EST!E24,2))&lt;12),
TEXT(TIMEVALUE(_xlfn.TEXTBEFORE(EST!E24," - "))+TIME(12,0,0),"hh:mm")
&amp; " - " &amp;
TEXT(TIMEVALUE(_xlfn.TEXTAFTER(EST!E24," - "))+TIME(12,0,0),"hh:mm"),
"OFF")),"OFF")</f>
        <v>23:00 - 10:00</v>
      </c>
      <c r="F24" t="str">
        <f>IFERROR(IF(EST!E24="OFF",
IF(EST!F24="OFF","OFF",
IF(VALUE(LEFT(EST!F24,2))&lt;12,
TEXT(TIMEVALUE(_xlfn.TEXTBEFORE(EST!F24," - "))+TIME(12,0,0),"hh:mm")
&amp; " - " &amp;
TEXT(TIMEVALUE(_xlfn.TEXTAFTER(EST!F24," - "))+TIME(12,0,0),"hh:mm"),
"OFF")),
TEXT(TIMEVALUE(_xlfn.TEXTBEFORE(EST!E24," - "))+TIME(12,0,0),"hh:mm")
&amp; " - " &amp;
TEXT(TIMEVALUE(_xlfn.TEXTAFTER(EST!E24," - "))+TIME(12,0,0),"hh:mm")),"OFF")</f>
        <v>23:00 - 10:00</v>
      </c>
      <c r="G24" t="str">
        <f>IFERROR(IF(EST!F24="OFF",
IF(EST!G24="OFF","OFF",
IF(VALUE(LEFT(EST!G24,2))&lt;12,
TEXT(TIMEVALUE(_xlfn.TEXTBEFORE(EST!G24," - "))+TIME(12,0,0),"hh:mm")
&amp; " - " &amp;
TEXT(TIMEVALUE(_xlfn.TEXTAFTER(EST!G24," - "))+TIME(12,0,0),"hh:mm"),
"OFF")),
TEXT(TIMEVALUE(_xlfn.TEXTBEFORE(EST!F24," - "))+TIME(12,0,0),"hh:mm")
&amp; " - " &amp;
TEXT(TIMEVALUE(_xlfn.TEXTAFTER(EST!F24," - "))+TIME(12,0,0),"hh:mm")),"OFF")</f>
        <v>OFF</v>
      </c>
      <c r="H24" t="str">
        <f>IFERROR(IF(EST!G24="OFF",
IF(EST!H24="OFF","OFF",
IF(VALUE(LEFT(EST!H24,2))&lt;12,
TEXT(TIMEVALUE(_xlfn.TEXTBEFORE(EST!H24," - "))+TIME(12,0,0),"hh:mm")
&amp; " - " &amp;
TEXT(TIMEVALUE(_xlfn.TEXTAFTER(EST!H24," - "))+TIME(12,0,0),"hh:mm"),
"OFF")),
TEXT(TIMEVALUE(_xlfn.TEXTBEFORE(EST!G24," - "))+TIME(12,0,0),"hh:mm")
&amp; " - " &amp;
TEXT(TIMEVALUE(_xlfn.TEXTAFTER(EST!G24," - "))+TIME(12,0,0),"hh:mm")),"OFF")</f>
        <v>OFF</v>
      </c>
      <c r="I24" t="str">
        <f t="shared" si="1"/>
        <v>Sat - Sun</v>
      </c>
      <c r="J24" s="38">
        <f>MOD(EST!J24+TIME(12,0,0),1)</f>
        <v>4.1666666666666519E-2</v>
      </c>
      <c r="K24" s="38">
        <f>MOD(EST!K24+TIME(12,0,0),1)</f>
        <v>0.13541666666666652</v>
      </c>
      <c r="L24" s="38">
        <f>MOD(EST!L24+TIME(12,0,0),1)</f>
        <v>0.22916666666666652</v>
      </c>
      <c r="M24" s="38">
        <f>MOD(EST!M24+TIME(12,0,0),1)</f>
        <v>0.35416666666666652</v>
      </c>
      <c r="N24" t="str">
        <f>EST!N24</f>
        <v>Anmecha Valencia</v>
      </c>
    </row>
    <row r="25" spans="1:14" x14ac:dyDescent="0.25">
      <c r="A25" t="str">
        <f>EST!A25</f>
        <v>JAYSON PESCADERO</v>
      </c>
      <c r="B25" t="str">
        <f>IFERROR(IF(EST!H25="OFF",
IF(EST!B25="OFF","OFF",
IF(VALUE(LEFT(EST!B25,2))&lt;12,
TEXT(TIMEVALUE(_xlfn.TEXTBEFORE(EST!B25," - "))+TIME(12,0,0),"hh:mm")
&amp;" - "&amp;
TEXT(TIMEVALUE(_xlfn.TEXTAFTER(EST!B25," - "))+TIME(12,0,0),"hh:mm"),
"OFF")),
IF(VALUE(LEFT(EST!H25,2))&gt;=12,
TEXT(TIMEVALUE(_xlfn.TEXTBEFORE(EST!H25," - "))+TIME(12,0,0),"hh:mm")
&amp;" - "&amp;
TEXT(TIMEVALUE(_xlfn.TEXTAFTER(EST!H25," - "))+TIME(12,0,0),"hh:mm"),
"OFF")),"OFF")</f>
        <v>23:00 - 10:00</v>
      </c>
      <c r="C25" t="str">
        <f>IFERROR(IF(AND(EST!B25&lt;&gt;"OFF",VALUE(LEFT(EST!B25,2))&gt;=12),
TEXT(TIMEVALUE(_xlfn.TEXTBEFORE(EST!B25," - "))+TIME(12,0,0),"hh:mm")
&amp; " - " &amp;
TEXT(TIMEVALUE(_xlfn.TEXTAFTER(EST!B25," - "))+TIME(12,0,0),"hh:mm"),
IF(AND(EST!C25&lt;&gt;"OFF",VALUE(LEFT(EST!C25,2))&lt;12),
TEXT(TIMEVALUE(_xlfn.TEXTBEFORE(EST!C25," - "))+TIME(12,0,0),"hh:mm")
&amp; " - " &amp;
TEXT(TIMEVALUE(_xlfn.TEXTAFTER(EST!C25," - "))+TIME(12,0,0),"hh:mm"),
"OFF")),"OFF")</f>
        <v>23:00 - 10:00</v>
      </c>
      <c r="D25" t="str">
        <f>IFERROR(IF(AND(EST!C25&lt;&gt;"OFF",VALUE(LEFT(EST!C25,2))&gt;=12),
TEXT(TIMEVALUE(_xlfn.TEXTBEFORE(EST!C25," - "))+TIME(12,0,0),"hh:mm")
&amp; " - " &amp;
TEXT(TIMEVALUE(_xlfn.TEXTAFTER(EST!C25," - "))+TIME(12,0,0),"hh:mm"),
IF(AND(EST!D25&lt;&gt;"OFF",VALUE(LEFT(EST!D25,2))&lt;12),
TEXT(TIMEVALUE(_xlfn.TEXTBEFORE(EST!D25," - "))+TIME(12,0,0),"hh:mm")
&amp; " - " &amp;
TEXT(TIMEVALUE(_xlfn.TEXTAFTER(EST!D25," - "))+TIME(12,0,0),"hh:mm"),
"OFF")),"OFF")</f>
        <v>23:00 - 10:00</v>
      </c>
      <c r="E25" t="str">
        <f>IFERROR(IF(AND(EST!D25&lt;&gt;"OFF",VALUE(LEFT(EST!D25,2))&gt;=12),
TEXT(TIMEVALUE(_xlfn.TEXTBEFORE(EST!D25," - "))+TIME(12,0,0),"hh:mm")
&amp; " - " &amp;
TEXT(TIMEVALUE(_xlfn.TEXTAFTER(EST!D25," - "))+TIME(12,0,0),"hh:mm"),
IF(AND(EST!E25&lt;&gt;"OFF",VALUE(LEFT(EST!E25,2))&lt;12),
TEXT(TIMEVALUE(_xlfn.TEXTBEFORE(EST!E25," - "))+TIME(12,0,0),"hh:mm")
&amp; " - " &amp;
TEXT(TIMEVALUE(_xlfn.TEXTAFTER(EST!E25," - "))+TIME(12,0,0),"hh:mm"),
"OFF")),"OFF")</f>
        <v>23:00 - 10:00</v>
      </c>
      <c r="F25" t="str">
        <f>IFERROR(IF(EST!E25="OFF",
IF(EST!F25="OFF","OFF",
IF(VALUE(LEFT(EST!F25,2))&lt;12,
TEXT(TIMEVALUE(_xlfn.TEXTBEFORE(EST!F25," - "))+TIME(12,0,0),"hh:mm")
&amp; " - " &amp;
TEXT(TIMEVALUE(_xlfn.TEXTAFTER(EST!F25," - "))+TIME(12,0,0),"hh:mm"),
"OFF")),
TEXT(TIMEVALUE(_xlfn.TEXTBEFORE(EST!E25," - "))+TIME(12,0,0),"hh:mm")
&amp; " - " &amp;
TEXT(TIMEVALUE(_xlfn.TEXTAFTER(EST!E25," - "))+TIME(12,0,0),"hh:mm")),"OFF")</f>
        <v>23:00 - 10:00</v>
      </c>
      <c r="G25" t="str">
        <f>IFERROR(IF(EST!F25="OFF",
IF(EST!G25="OFF","OFF",
IF(VALUE(LEFT(EST!G25,2))&lt;12,
TEXT(TIMEVALUE(_xlfn.TEXTBEFORE(EST!G25," - "))+TIME(12,0,0),"hh:mm")
&amp; " - " &amp;
TEXT(TIMEVALUE(_xlfn.TEXTAFTER(EST!G25," - "))+TIME(12,0,0),"hh:mm"),
"OFF")),
TEXT(TIMEVALUE(_xlfn.TEXTBEFORE(EST!F25," - "))+TIME(12,0,0),"hh:mm")
&amp; " - " &amp;
TEXT(TIMEVALUE(_xlfn.TEXTAFTER(EST!F25," - "))+TIME(12,0,0),"hh:mm")),"OFF")</f>
        <v>OFF</v>
      </c>
      <c r="H25" t="str">
        <f>IFERROR(IF(EST!G25="OFF",
IF(EST!H25="OFF","OFF",
IF(VALUE(LEFT(EST!H25,2))&lt;12,
TEXT(TIMEVALUE(_xlfn.TEXTBEFORE(EST!H25," - "))+TIME(12,0,0),"hh:mm")
&amp; " - " &amp;
TEXT(TIMEVALUE(_xlfn.TEXTAFTER(EST!H25," - "))+TIME(12,0,0),"hh:mm"),
"OFF")),
TEXT(TIMEVALUE(_xlfn.TEXTBEFORE(EST!G25," - "))+TIME(12,0,0),"hh:mm")
&amp; " - " &amp;
TEXT(TIMEVALUE(_xlfn.TEXTAFTER(EST!G25," - "))+TIME(12,0,0),"hh:mm")),"OFF")</f>
        <v>OFF</v>
      </c>
      <c r="I25" t="str">
        <f t="shared" si="1"/>
        <v>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</row>
    <row r="26" spans="1:14" x14ac:dyDescent="0.25">
      <c r="A26" t="str">
        <f>EST!A26</f>
        <v>SAM SUPNET</v>
      </c>
      <c r="B26" t="str">
        <f>IFERROR(IF(EST!H26="OFF",
IF(EST!B26="OFF","OFF",
IF(VALUE(LEFT(EST!B26,2))&lt;12,
TEXT(TIMEVALUE(_xlfn.TEXTBEFORE(EST!B26," - "))+TIME(12,0,0),"hh:mm")
&amp;" - "&amp;
TEXT(TIMEVALUE(_xlfn.TEXTAFTER(EST!B26," - "))+TIME(12,0,0),"hh:mm"),
"OFF")),
IF(VALUE(LEFT(EST!H26,2))&gt;=12,
TEXT(TIMEVALUE(_xlfn.TEXTBEFORE(EST!H26," - "))+TIME(12,0,0),"hh:mm")
&amp;" - "&amp;
TEXT(TIMEVALUE(_xlfn.TEXTAFTER(EST!H26," - "))+TIME(12,0,0),"hh:mm"),
"OFF")),"OFF")</f>
        <v>OFF</v>
      </c>
      <c r="C26" t="str">
        <f>IFERROR(IF(AND(EST!B26&lt;&gt;"OFF",VALUE(LEFT(EST!B26,2))&gt;=12),
TEXT(TIMEVALUE(_xlfn.TEXTBEFORE(EST!B26," - "))+TIME(12,0,0),"hh:mm")
&amp; " - " &amp;
TEXT(TIMEVALUE(_xlfn.TEXTAFTER(EST!B26," - "))+TIME(12,0,0),"hh:mm"),
IF(AND(EST!C26&lt;&gt;"OFF",VALUE(LEFT(EST!C26,2))&lt;12),
TEXT(TIMEVALUE(_xlfn.TEXTBEFORE(EST!C26," - "))+TIME(12,0,0),"hh:mm")
&amp; " - " &amp;
TEXT(TIMEVALUE(_xlfn.TEXTAFTER(EST!C26," - "))+TIME(12,0,0),"hh:mm"),
"OFF")),"OFF")</f>
        <v>22:30 - 09:30</v>
      </c>
      <c r="D26" t="str">
        <f>IFERROR(IF(AND(EST!C26&lt;&gt;"OFF",VALUE(LEFT(EST!C26,2))&gt;=12),
TEXT(TIMEVALUE(_xlfn.TEXTBEFORE(EST!C26," - "))+TIME(12,0,0),"hh:mm")
&amp; " - " &amp;
TEXT(TIMEVALUE(_xlfn.TEXTAFTER(EST!C26," - "))+TIME(12,0,0),"hh:mm"),
IF(AND(EST!D26&lt;&gt;"OFF",VALUE(LEFT(EST!D26,2))&lt;12),
TEXT(TIMEVALUE(_xlfn.TEXTBEFORE(EST!D26," - "))+TIME(12,0,0),"hh:mm")
&amp; " - " &amp;
TEXT(TIMEVALUE(_xlfn.TEXTAFTER(EST!D26," - "))+TIME(12,0,0),"hh:mm"),
"OFF")),"OFF")</f>
        <v>OFF</v>
      </c>
      <c r="E26" t="str">
        <f>IFERROR(IF(AND(EST!D26&lt;&gt;"OFF",VALUE(LEFT(EST!D26,2))&gt;=12),
TEXT(TIMEVALUE(_xlfn.TEXTBEFORE(EST!D26," - "))+TIME(12,0,0),"hh:mm")
&amp; " - " &amp;
TEXT(TIMEVALUE(_xlfn.TEXTAFTER(EST!D26," - "))+TIME(12,0,0),"hh:mm"),
IF(AND(EST!E26&lt;&gt;"OFF",VALUE(LEFT(EST!E26,2))&lt;12),
TEXT(TIMEVALUE(_xlfn.TEXTBEFORE(EST!E26," - "))+TIME(12,0,0),"hh:mm")
&amp; " - " &amp;
TEXT(TIMEVALUE(_xlfn.TEXTAFTER(EST!E26," - "))+TIME(12,0,0),"hh:mm"),
"OFF")),"OFF")</f>
        <v>OFF</v>
      </c>
      <c r="F26" t="str">
        <f>IFERROR(IF(EST!E26="OFF",
IF(EST!F26="OFF","OFF",
IF(VALUE(LEFT(EST!F26,2))&lt;12,
TEXT(TIMEVALUE(_xlfn.TEXTBEFORE(EST!F26," - "))+TIME(12,0,0),"hh:mm")
&amp; " - " &amp;
TEXT(TIMEVALUE(_xlfn.TEXTAFTER(EST!F26," - "))+TIME(12,0,0),"hh:mm"),
"OFF")),
TEXT(TIMEVALUE(_xlfn.TEXTBEFORE(EST!E26," - "))+TIME(12,0,0),"hh:mm")
&amp; " - " &amp;
TEXT(TIMEVALUE(_xlfn.TEXTAFTER(EST!E26," - "))+TIME(12,0,0),"hh:mm")),"OFF")</f>
        <v>OFF</v>
      </c>
      <c r="G26" t="str">
        <f>IFERROR(IF(EST!F26="OFF",
IF(EST!G26="OFF","OFF",
IF(VALUE(LEFT(EST!G26,2))&lt;12,
TEXT(TIMEVALUE(_xlfn.TEXTBEFORE(EST!G26," - "))+TIME(12,0,0),"hh:mm")
&amp; " - " &amp;
TEXT(TIMEVALUE(_xlfn.TEXTAFTER(EST!G26," - "))+TIME(12,0,0),"hh:mm"),
"OFF")),
TEXT(TIMEVALUE(_xlfn.TEXTBEFORE(EST!F26," - "))+TIME(12,0,0),"hh:mm")
&amp; " - " &amp;
TEXT(TIMEVALUE(_xlfn.TEXTAFTER(EST!F26," - "))+TIME(12,0,0),"hh:mm")),"OFF")</f>
        <v>22:30 - 09:30</v>
      </c>
      <c r="H26" t="str">
        <f>IFERROR(IF(EST!G26="OFF",
IF(EST!H26="OFF","OFF",
IF(VALUE(LEFT(EST!H26,2))&lt;12,
TEXT(TIMEVALUE(_xlfn.TEXTBEFORE(EST!H26," - "))+TIME(12,0,0),"hh:mm")
&amp; " - " &amp;
TEXT(TIMEVALUE(_xlfn.TEXTAFTER(EST!H26," - "))+TIME(12,0,0),"hh:mm"),
"OFF")),
TEXT(TIMEVALUE(_xlfn.TEXTBEFORE(EST!G26," - "))+TIME(12,0,0),"hh:mm")
&amp; " - " &amp;
TEXT(TIMEVALUE(_xlfn.TEXTAFTER(EST!G26," - "))+TIME(12,0,0),"hh:mm")),"OFF")</f>
        <v>22:30 - 09:30</v>
      </c>
      <c r="I26" t="str">
        <f t="shared" si="1"/>
        <v>Mon - Wed - Thu - Fri</v>
      </c>
      <c r="J26" s="38">
        <f>MOD(EST!J26+TIME(12,0,0),1)</f>
        <v>3.125E-2</v>
      </c>
      <c r="K26" s="38">
        <f>MOD(EST!K26+TIME(12,0,0),1)</f>
        <v>0.26041666666666652</v>
      </c>
      <c r="L26" s="38">
        <f>MOD(EST!L26+TIME(12,0,0),1)</f>
        <v>0.14583333333333348</v>
      </c>
      <c r="M26" s="38">
        <f>MOD(EST!M26+TIME(12,0,0),1)</f>
        <v>0.375</v>
      </c>
      <c r="N26" t="str">
        <f>EST!N26</f>
        <v>Michael Dominguez</v>
      </c>
    </row>
    <row r="27" spans="1:14" x14ac:dyDescent="0.25">
      <c r="A27" t="str">
        <f>EST!A27</f>
        <v>JAMES KIM MALATAG</v>
      </c>
      <c r="B27" t="str">
        <f>IFERROR(IF(EST!H27="OFF",
IF(EST!B27="OFF","OFF",
IF(VALUE(LEFT(EST!B27,2))&lt;12,
TEXT(TIMEVALUE(_xlfn.TEXTBEFORE(EST!B27," - "))+TIME(12,0,0),"hh:mm")
&amp;" - "&amp;
TEXT(TIMEVALUE(_xlfn.TEXTAFTER(EST!B27," - "))+TIME(12,0,0),"hh:mm"),
"OFF")),
IF(VALUE(LEFT(EST!H27,2))&gt;=12,
TEXT(TIMEVALUE(_xlfn.TEXTBEFORE(EST!H27," - "))+TIME(12,0,0),"hh:mm")
&amp;" - "&amp;
TEXT(TIMEVALUE(_xlfn.TEXTAFTER(EST!H27," - "))+TIME(12,0,0),"hh:mm"),
"OFF")),"OFF")</f>
        <v>22:00 - 09:00</v>
      </c>
      <c r="C27" t="str">
        <f>IFERROR(IF(AND(EST!B27&lt;&gt;"OFF",VALUE(LEFT(EST!B27,2))&gt;=12),
TEXT(TIMEVALUE(_xlfn.TEXTBEFORE(EST!B27," - "))+TIME(12,0,0),"hh:mm")
&amp; " - " &amp;
TEXT(TIMEVALUE(_xlfn.TEXTAFTER(EST!B27," - "))+TIME(12,0,0),"hh:mm"),
IF(AND(EST!C27&lt;&gt;"OFF",VALUE(LEFT(EST!C27,2))&lt;12),
TEXT(TIMEVALUE(_xlfn.TEXTBEFORE(EST!C27," - "))+TIME(12,0,0),"hh:mm")
&amp; " - " &amp;
TEXT(TIMEVALUE(_xlfn.TEXTAFTER(EST!C27," - "))+TIME(12,0,0),"hh:mm"),
"OFF")),"OFF")</f>
        <v>22:00 - 09:00</v>
      </c>
      <c r="D27" t="str">
        <f>IFERROR(IF(AND(EST!C27&lt;&gt;"OFF",VALUE(LEFT(EST!C27,2))&gt;=12),
TEXT(TIMEVALUE(_xlfn.TEXTBEFORE(EST!C27," - "))+TIME(12,0,0),"hh:mm")
&amp; " - " &amp;
TEXT(TIMEVALUE(_xlfn.TEXTAFTER(EST!C27," - "))+TIME(12,0,0),"hh:mm"),
IF(AND(EST!D27&lt;&gt;"OFF",VALUE(LEFT(EST!D27,2))&lt;12),
TEXT(TIMEVALUE(_xlfn.TEXTBEFORE(EST!D27," - "))+TIME(12,0,0),"hh:mm")
&amp; " - " &amp;
TEXT(TIMEVALUE(_xlfn.TEXTAFTER(EST!D27," - "))+TIME(12,0,0),"hh:mm"),
"OFF")),"OFF")</f>
        <v>22:00 - 09:00</v>
      </c>
      <c r="E27" t="str">
        <f>IFERROR(IF(AND(EST!D27&lt;&gt;"OFF",VALUE(LEFT(EST!D27,2))&gt;=12),
TEXT(TIMEVALUE(_xlfn.TEXTBEFORE(EST!D27," - "))+TIME(12,0,0),"hh:mm")
&amp; " - " &amp;
TEXT(TIMEVALUE(_xlfn.TEXTAFTER(EST!D27," - "))+TIME(12,0,0),"hh:mm"),
IF(AND(EST!E27&lt;&gt;"OFF",VALUE(LEFT(EST!E27,2))&lt;12),
TEXT(TIMEVALUE(_xlfn.TEXTBEFORE(EST!E27," - "))+TIME(12,0,0),"hh:mm")
&amp; " - " &amp;
TEXT(TIMEVALUE(_xlfn.TEXTAFTER(EST!E27," - "))+TIME(12,0,0),"hh:mm"),
"OFF")),"OFF")</f>
        <v>22:00 - 09:00</v>
      </c>
      <c r="F27" t="str">
        <f>IFERROR(IF(EST!E27="OFF",
IF(EST!F27="OFF","OFF",
IF(VALUE(LEFT(EST!F27,2))&lt;12,
TEXT(TIMEVALUE(_xlfn.TEXTBEFORE(EST!F27," - "))+TIME(12,0,0),"hh:mm")
&amp; " - " &amp;
TEXT(TIMEVALUE(_xlfn.TEXTAFTER(EST!F27," - "))+TIME(12,0,0),"hh:mm"),
"OFF")),
TEXT(TIMEVALUE(_xlfn.TEXTBEFORE(EST!E27," - "))+TIME(12,0,0),"hh:mm")
&amp; " - " &amp;
TEXT(TIMEVALUE(_xlfn.TEXTAFTER(EST!E27," - "))+TIME(12,0,0),"hh:mm")),"OFF")</f>
        <v>22:00 - 09:00</v>
      </c>
      <c r="G27" t="str">
        <f>IFERROR(IF(EST!F27="OFF",
IF(EST!G27="OFF","OFF",
IF(VALUE(LEFT(EST!G27,2))&lt;12,
TEXT(TIMEVALUE(_xlfn.TEXTBEFORE(EST!G27," - "))+TIME(12,0,0),"hh:mm")
&amp; " - " &amp;
TEXT(TIMEVALUE(_xlfn.TEXTAFTER(EST!G27," - "))+TIME(12,0,0),"hh:mm"),
"OFF")),
TEXT(TIMEVALUE(_xlfn.TEXTBEFORE(EST!F27," - "))+TIME(12,0,0),"hh:mm")
&amp; " - " &amp;
TEXT(TIMEVALUE(_xlfn.TEXTAFTER(EST!F27," - "))+TIME(12,0,0),"hh:mm")),"OFF")</f>
        <v>OFF</v>
      </c>
      <c r="H27" t="str">
        <f>IFERROR(IF(EST!G27="OFF",
IF(EST!H27="OFF","OFF",
IF(VALUE(LEFT(EST!H27,2))&lt;12,
TEXT(TIMEVALUE(_xlfn.TEXTBEFORE(EST!H27," - "))+TIME(12,0,0),"hh:mm")
&amp; " - " &amp;
TEXT(TIMEVALUE(_xlfn.TEXTAFTER(EST!H27," - "))+TIME(12,0,0),"hh:mm"),
"OFF")),
TEXT(TIMEVALUE(_xlfn.TEXTBEFORE(EST!G27," - "))+TIME(12,0,0),"hh:mm")
&amp; " - " &amp;
TEXT(TIMEVALUE(_xlfn.TEXTAFTER(EST!G27," - "))+TIME(12,0,0),"hh:mm")),"OFF")</f>
        <v>OFF</v>
      </c>
      <c r="I27" t="str">
        <f t="shared" si="1"/>
        <v>Sat - Sun</v>
      </c>
      <c r="J27" s="38">
        <f>MOD(EST!J27+TIME(12,0,0),1)</f>
        <v>1.0416666666666519E-2</v>
      </c>
      <c r="K27" s="38">
        <f>MOD(EST!K27+TIME(12,0,0),1)</f>
        <v>9.375E-2</v>
      </c>
      <c r="L27" s="38">
        <f>MOD(EST!L27+TIME(12,0,0),1)</f>
        <v>0.1875</v>
      </c>
      <c r="M27" s="38">
        <f>MOD(EST!M27+TIME(12,0,0),1)</f>
        <v>0.3125</v>
      </c>
      <c r="N27" t="str">
        <f>EST!N27</f>
        <v>Michael Dominguez</v>
      </c>
    </row>
    <row r="28" spans="1:14" x14ac:dyDescent="0.25">
      <c r="A28" t="str">
        <f>EST!A28</f>
        <v>AZILEAN KHRISTA ALMAZAN</v>
      </c>
      <c r="B28" t="str">
        <f>IFERROR(IF(EST!H28="OFF",
IF(EST!B28="OFF","OFF",
IF(VALUE(LEFT(EST!B28,2))&lt;12,
TEXT(TIMEVALUE(_xlfn.TEXTBEFORE(EST!B28," - "))+TIME(12,0,0),"hh:mm")
&amp;" - "&amp;
TEXT(TIMEVALUE(_xlfn.TEXTAFTER(EST!B28," - "))+TIME(12,0,0),"hh:mm"),
"OFF")),
IF(VALUE(LEFT(EST!H28,2))&gt;=12,
TEXT(TIMEVALUE(_xlfn.TEXTBEFORE(EST!H28," - "))+TIME(12,0,0),"hh:mm")
&amp;" - "&amp;
TEXT(TIMEVALUE(_xlfn.TEXTAFTER(EST!H28," - "))+TIME(12,0,0),"hh:mm"),
"OFF")),"OFF")</f>
        <v>21:00 - 08:00</v>
      </c>
      <c r="C28" t="str">
        <f>IFERROR(IF(AND(EST!B28&lt;&gt;"OFF",VALUE(LEFT(EST!B28,2))&gt;=12),
TEXT(TIMEVALUE(_xlfn.TEXTBEFORE(EST!B28," - "))+TIME(12,0,0),"hh:mm")
&amp; " - " &amp;
TEXT(TIMEVALUE(_xlfn.TEXTAFTER(EST!B28," - "))+TIME(12,0,0),"hh:mm"),
IF(AND(EST!C28&lt;&gt;"OFF",VALUE(LEFT(EST!C28,2))&lt;12),
TEXT(TIMEVALUE(_xlfn.TEXTBEFORE(EST!C28," - "))+TIME(12,0,0),"hh:mm")
&amp; " - " &amp;
TEXT(TIMEVALUE(_xlfn.TEXTAFTER(EST!C28," - "))+TIME(12,0,0),"hh:mm"),
"OFF")),"OFF")</f>
        <v>21:00 - 08:00</v>
      </c>
      <c r="D28" t="str">
        <f>IFERROR(IF(AND(EST!C28&lt;&gt;"OFF",VALUE(LEFT(EST!C28,2))&gt;=12),
TEXT(TIMEVALUE(_xlfn.TEXTBEFORE(EST!C28," - "))+TIME(12,0,0),"hh:mm")
&amp; " - " &amp;
TEXT(TIMEVALUE(_xlfn.TEXTAFTER(EST!C28," - "))+TIME(12,0,0),"hh:mm"),
IF(AND(EST!D28&lt;&gt;"OFF",VALUE(LEFT(EST!D28,2))&lt;12),
TEXT(TIMEVALUE(_xlfn.TEXTBEFORE(EST!D28," - "))+TIME(12,0,0),"hh:mm")
&amp; " - " &amp;
TEXT(TIMEVALUE(_xlfn.TEXTAFTER(EST!D28," - "))+TIME(12,0,0),"hh:mm"),
"OFF")),"OFF")</f>
        <v>OFF</v>
      </c>
      <c r="E28" t="str">
        <f>IFERROR(IF(AND(EST!D28&lt;&gt;"OFF",VALUE(LEFT(EST!D28,2))&gt;=12),
TEXT(TIMEVALUE(_xlfn.TEXTBEFORE(EST!D28," - "))+TIME(12,0,0),"hh:mm")
&amp; " - " &amp;
TEXT(TIMEVALUE(_xlfn.TEXTAFTER(EST!D28," - "))+TIME(12,0,0),"hh:mm"),
IF(AND(EST!E28&lt;&gt;"OFF",VALUE(LEFT(EST!E28,2))&lt;12),
TEXT(TIMEVALUE(_xlfn.TEXTBEFORE(EST!E28," - "))+TIME(12,0,0),"hh:mm")
&amp; " - " &amp;
TEXT(TIMEVALUE(_xlfn.TEXTAFTER(EST!E28," - "))+TIME(12,0,0),"hh:mm"),
"OFF")),"OFF")</f>
        <v>OFF</v>
      </c>
      <c r="F28" t="str">
        <f>IFERROR(IF(EST!E28="OFF",
IF(EST!F28="OFF","OFF",
IF(VALUE(LEFT(EST!F28,2))&lt;12,
TEXT(TIMEVALUE(_xlfn.TEXTBEFORE(EST!F28," - "))+TIME(12,0,0),"hh:mm")
&amp; " - " &amp;
TEXT(TIMEVALUE(_xlfn.TEXTAFTER(EST!F28," - "))+TIME(12,0,0),"hh:mm"),
"OFF")),
TEXT(TIMEVALUE(_xlfn.TEXTBEFORE(EST!E28," - "))+TIME(12,0,0),"hh:mm")
&amp; " - " &amp;
TEXT(TIMEVALUE(_xlfn.TEXTAFTER(EST!E28," - "))+TIME(12,0,0),"hh:mm")),"OFF")</f>
        <v>21:00 - 08:00</v>
      </c>
      <c r="G28" t="str">
        <f>IFERROR(IF(EST!F28="OFF",
IF(EST!G28="OFF","OFF",
IF(VALUE(LEFT(EST!G28,2))&lt;12,
TEXT(TIMEVALUE(_xlfn.TEXTBEFORE(EST!G28," - "))+TIME(12,0,0),"hh:mm")
&amp; " - " &amp;
TEXT(TIMEVALUE(_xlfn.TEXTAFTER(EST!G28," - "))+TIME(12,0,0),"hh:mm"),
"OFF")),
TEXT(TIMEVALUE(_xlfn.TEXTBEFORE(EST!F28," - "))+TIME(12,0,0),"hh:mm")
&amp; " - " &amp;
TEXT(TIMEVALUE(_xlfn.TEXTAFTER(EST!F28," - "))+TIME(12,0,0),"hh:mm")),"OFF")</f>
        <v>21:00 - 08:00</v>
      </c>
      <c r="H28" t="str">
        <f>IFERROR(IF(EST!G28="OFF",
IF(EST!H28="OFF","OFF",
IF(VALUE(LEFT(EST!H28,2))&lt;12,
TEXT(TIMEVALUE(_xlfn.TEXTBEFORE(EST!H28," - "))+TIME(12,0,0),"hh:mm")
&amp; " - " &amp;
TEXT(TIMEVALUE(_xlfn.TEXTAFTER(EST!H28," - "))+TIME(12,0,0),"hh:mm"),
"OFF")),
TEXT(TIMEVALUE(_xlfn.TEXTBEFORE(EST!G28," - "))+TIME(12,0,0),"hh:mm")
&amp; " - " &amp;
TEXT(TIMEVALUE(_xlfn.TEXTAFTER(EST!G28," - "))+TIME(12,0,0),"hh:mm")),"OFF")</f>
        <v>21:00 - 08:00</v>
      </c>
      <c r="I28" t="str">
        <f t="shared" si="1"/>
        <v>Wed - Thu</v>
      </c>
      <c r="J28" s="38">
        <f>MOD(EST!J28+TIME(12,0,0),1)</f>
        <v>0.95833333333333326</v>
      </c>
      <c r="K28" s="38">
        <f>MOD(EST!K28+TIME(12,0,0),1)</f>
        <v>5.2083333333333481E-2</v>
      </c>
      <c r="L28" s="38">
        <f>MOD(EST!L28+TIME(12,0,0),1)</f>
        <v>0.1875</v>
      </c>
      <c r="M28" s="38">
        <f>MOD(EST!M28+TIME(12,0,0),1)</f>
        <v>0.28125</v>
      </c>
      <c r="N28" t="str">
        <f>EST!N28</f>
        <v>Anmecha Valencia</v>
      </c>
    </row>
    <row r="29" spans="1:14" x14ac:dyDescent="0.25">
      <c r="A29" t="str">
        <f>EST!A29</f>
        <v>BENEDICT ERMITANO</v>
      </c>
      <c r="B29" t="str">
        <f>IFERROR(IF(EST!H29="OFF",
IF(EST!B29="OFF","OFF",
IF(VALUE(LEFT(EST!B29,2))&lt;12,
TEXT(TIMEVALUE(_xlfn.TEXTBEFORE(EST!B29," - "))+TIME(12,0,0),"hh:mm")
&amp;" - "&amp;
TEXT(TIMEVALUE(_xlfn.TEXTAFTER(EST!B29," - "))+TIME(12,0,0),"hh:mm"),
"OFF")),
IF(VALUE(LEFT(EST!H29,2))&gt;=12,
TEXT(TIMEVALUE(_xlfn.TEXTBEFORE(EST!H29," - "))+TIME(12,0,0),"hh:mm")
&amp;" - "&amp;
TEXT(TIMEVALUE(_xlfn.TEXTAFTER(EST!H29," - "))+TIME(12,0,0),"hh:mm"),
"OFF")),"OFF")</f>
        <v>21:00 - 08:00</v>
      </c>
      <c r="C29" t="str">
        <f>IFERROR(IF(AND(EST!B29&lt;&gt;"OFF",VALUE(LEFT(EST!B29,2))&gt;=12),
TEXT(TIMEVALUE(_xlfn.TEXTBEFORE(EST!B29," - "))+TIME(12,0,0),"hh:mm")
&amp; " - " &amp;
TEXT(TIMEVALUE(_xlfn.TEXTAFTER(EST!B29," - "))+TIME(12,0,0),"hh:mm"),
IF(AND(EST!C29&lt;&gt;"OFF",VALUE(LEFT(EST!C29,2))&lt;12),
TEXT(TIMEVALUE(_xlfn.TEXTBEFORE(EST!C29," - "))+TIME(12,0,0),"hh:mm")
&amp; " - " &amp;
TEXT(TIMEVALUE(_xlfn.TEXTAFTER(EST!C29," - "))+TIME(12,0,0),"hh:mm"),
"OFF")),"OFF")</f>
        <v>21:00 - 08:00</v>
      </c>
      <c r="D29" t="str">
        <f>IFERROR(IF(AND(EST!C29&lt;&gt;"OFF",VALUE(LEFT(EST!C29,2))&gt;=12),
TEXT(TIMEVALUE(_xlfn.TEXTBEFORE(EST!C29," - "))+TIME(12,0,0),"hh:mm")
&amp; " - " &amp;
TEXT(TIMEVALUE(_xlfn.TEXTAFTER(EST!C29," - "))+TIME(12,0,0),"hh:mm"),
IF(AND(EST!D29&lt;&gt;"OFF",VALUE(LEFT(EST!D29,2))&lt;12),
TEXT(TIMEVALUE(_xlfn.TEXTBEFORE(EST!D29," - "))+TIME(12,0,0),"hh:mm")
&amp; " - " &amp;
TEXT(TIMEVALUE(_xlfn.TEXTAFTER(EST!D29," - "))+TIME(12,0,0),"hh:mm"),
"OFF")),"OFF")</f>
        <v>21:00 - 08:00</v>
      </c>
      <c r="E29" t="str">
        <f>IFERROR(IF(AND(EST!D29&lt;&gt;"OFF",VALUE(LEFT(EST!D29,2))&gt;=12),
TEXT(TIMEVALUE(_xlfn.TEXTBEFORE(EST!D29," - "))+TIME(12,0,0),"hh:mm")
&amp; " - " &amp;
TEXT(TIMEVALUE(_xlfn.TEXTAFTER(EST!D29," - "))+TIME(12,0,0),"hh:mm"),
IF(AND(EST!E29&lt;&gt;"OFF",VALUE(LEFT(EST!E29,2))&lt;12),
TEXT(TIMEVALUE(_xlfn.TEXTBEFORE(EST!E29," - "))+TIME(12,0,0),"hh:mm")
&amp; " - " &amp;
TEXT(TIMEVALUE(_xlfn.TEXTAFTER(EST!E29," - "))+TIME(12,0,0),"hh:mm"),
"OFF")),"OFF")</f>
        <v>OFF</v>
      </c>
      <c r="F29" t="str">
        <f>IFERROR(IF(EST!E29="OFF",
IF(EST!F29="OFF","OFF",
IF(VALUE(LEFT(EST!F29,2))&lt;12,
TEXT(TIMEVALUE(_xlfn.TEXTBEFORE(EST!F29," - "))+TIME(12,0,0),"hh:mm")
&amp; " - " &amp;
TEXT(TIMEVALUE(_xlfn.TEXTAFTER(EST!F29," - "))+TIME(12,0,0),"hh:mm"),
"OFF")),
TEXT(TIMEVALUE(_xlfn.TEXTBEFORE(EST!E29," - "))+TIME(12,0,0),"hh:mm")
&amp; " - " &amp;
TEXT(TIMEVALUE(_xlfn.TEXTAFTER(EST!E29," - "))+TIME(12,0,0),"hh:mm")),"OFF")</f>
        <v>21:00 - 08:00</v>
      </c>
      <c r="G29" t="str">
        <f>IFERROR(IF(EST!F29="OFF",
IF(EST!G29="OFF","OFF",
IF(VALUE(LEFT(EST!G29,2))&lt;12,
TEXT(TIMEVALUE(_xlfn.TEXTBEFORE(EST!G29," - "))+TIME(12,0,0),"hh:mm")
&amp; " - " &amp;
TEXT(TIMEVALUE(_xlfn.TEXTAFTER(EST!G29," - "))+TIME(12,0,0),"hh:mm"),
"OFF")),
TEXT(TIMEVALUE(_xlfn.TEXTBEFORE(EST!F29," - "))+TIME(12,0,0),"hh:mm")
&amp; " - " &amp;
TEXT(TIMEVALUE(_xlfn.TEXTAFTER(EST!F29," - "))+TIME(12,0,0),"hh:mm")),"OFF")</f>
        <v>21:00 - 08:00</v>
      </c>
      <c r="H29" t="str">
        <f>IFERROR(IF(EST!G29="OFF",
IF(EST!H29="OFF","OFF",
IF(VALUE(LEFT(EST!H29,2))&lt;12,
TEXT(TIMEVALUE(_xlfn.TEXTBEFORE(EST!H29," - "))+TIME(12,0,0),"hh:mm")
&amp; " - " &amp;
TEXT(TIMEVALUE(_xlfn.TEXTAFTER(EST!H29," - "))+TIME(12,0,0),"hh:mm"),
"OFF")),
TEXT(TIMEVALUE(_xlfn.TEXTBEFORE(EST!G29," - "))+TIME(12,0,0),"hh:mm")
&amp; " - " &amp;
TEXT(TIMEVALUE(_xlfn.TEXTAFTER(EST!G29," - "))+TIME(12,0,0),"hh:mm")),"OFF")</f>
        <v>OFF</v>
      </c>
      <c r="I29" t="str">
        <f t="shared" si="1"/>
        <v>Thu - Sun</v>
      </c>
      <c r="J29" s="38">
        <f>MOD(EST!J29+TIME(12,0,0),1)</f>
        <v>0.97916666666666674</v>
      </c>
      <c r="K29" s="38">
        <f>MOD(EST!K29+TIME(12,0,0),1)</f>
        <v>0.125</v>
      </c>
      <c r="L29" s="38">
        <f>MOD(EST!L29+TIME(12,0,0),1)</f>
        <v>5.2083333333333481E-2</v>
      </c>
      <c r="M29" s="38">
        <f>MOD(EST!M29+TIME(12,0,0),1)</f>
        <v>0.27083333333333348</v>
      </c>
      <c r="N29" t="str">
        <f>EST!N29</f>
        <v>Michael Dominguez</v>
      </c>
    </row>
    <row r="30" spans="1:14" x14ac:dyDescent="0.25">
      <c r="A30" t="str">
        <f>EST!A30</f>
        <v>CARLOS JR. KIAMCO</v>
      </c>
      <c r="B30" t="str">
        <f>IFERROR(IF(EST!H30="OFF",
IF(EST!B30="OFF","OFF",
IF(VALUE(LEFT(EST!B30,2))&lt;12,
TEXT(TIMEVALUE(_xlfn.TEXTBEFORE(EST!B30," - "))+TIME(12,0,0),"hh:mm")
&amp;" - "&amp;
TEXT(TIMEVALUE(_xlfn.TEXTAFTER(EST!B30," - "))+TIME(12,0,0),"hh:mm"),
"OFF")),
IF(VALUE(LEFT(EST!H30,2))&gt;=12,
TEXT(TIMEVALUE(_xlfn.TEXTBEFORE(EST!H30," - "))+TIME(12,0,0),"hh:mm")
&amp;" - "&amp;
TEXT(TIMEVALUE(_xlfn.TEXTAFTER(EST!H30," - "))+TIME(12,0,0),"hh:mm"),
"OFF")),"OFF")</f>
        <v>OFF</v>
      </c>
      <c r="C30" t="str">
        <f>IFERROR(IF(AND(EST!B30&lt;&gt;"OFF",VALUE(LEFT(EST!B30,2))&gt;=12),
TEXT(TIMEVALUE(_xlfn.TEXTBEFORE(EST!B30," - "))+TIME(12,0,0),"hh:mm")
&amp; " - " &amp;
TEXT(TIMEVALUE(_xlfn.TEXTAFTER(EST!B30," - "))+TIME(12,0,0),"hh:mm"),
IF(AND(EST!C30&lt;&gt;"OFF",VALUE(LEFT(EST!C30,2))&lt;12),
TEXT(TIMEVALUE(_xlfn.TEXTBEFORE(EST!C30," - "))+TIME(12,0,0),"hh:mm")
&amp; " - " &amp;
TEXT(TIMEVALUE(_xlfn.TEXTAFTER(EST!C30," - "))+TIME(12,0,0),"hh:mm"),
"OFF")),"OFF")</f>
        <v>OFF</v>
      </c>
      <c r="D30" t="str">
        <f>IFERROR(IF(AND(EST!C30&lt;&gt;"OFF",VALUE(LEFT(EST!C30,2))&gt;=12),
TEXT(TIMEVALUE(_xlfn.TEXTBEFORE(EST!C30," - "))+TIME(12,0,0),"hh:mm")
&amp; " - " &amp;
TEXT(TIMEVALUE(_xlfn.TEXTAFTER(EST!C30," - "))+TIME(12,0,0),"hh:mm"),
IF(AND(EST!D30&lt;&gt;"OFF",VALUE(LEFT(EST!D30,2))&lt;12),
TEXT(TIMEVALUE(_xlfn.TEXTBEFORE(EST!D30," - "))+TIME(12,0,0),"hh:mm")
&amp; " - " &amp;
TEXT(TIMEVALUE(_xlfn.TEXTAFTER(EST!D30," - "))+TIME(12,0,0),"hh:mm"),
"OFF")),"OFF")</f>
        <v>OFF</v>
      </c>
      <c r="E30" t="str">
        <f>IFERROR(IF(AND(EST!D30&lt;&gt;"OFF",VALUE(LEFT(EST!D30,2))&gt;=12),
TEXT(TIMEVALUE(_xlfn.TEXTBEFORE(EST!D30," - "))+TIME(12,0,0),"hh:mm")
&amp; " - " &amp;
TEXT(TIMEVALUE(_xlfn.TEXTAFTER(EST!D30," - "))+TIME(12,0,0),"hh:mm"),
IF(AND(EST!E30&lt;&gt;"OFF",VALUE(LEFT(EST!E30,2))&lt;12),
TEXT(TIMEVALUE(_xlfn.TEXTBEFORE(EST!E30," - "))+TIME(12,0,0),"hh:mm")
&amp; " - " &amp;
TEXT(TIMEVALUE(_xlfn.TEXTAFTER(EST!E30," - "))+TIME(12,0,0),"hh:mm"),
"OFF")),"OFF")</f>
        <v>OFF</v>
      </c>
      <c r="F30" t="str">
        <f>IFERROR(IF(EST!E30="OFF",
IF(EST!F30="OFF","OFF",
IF(VALUE(LEFT(EST!F30,2))&lt;12,
TEXT(TIMEVALUE(_xlfn.TEXTBEFORE(EST!F30," - "))+TIME(12,0,0),"hh:mm")
&amp; " - " &amp;
TEXT(TIMEVALUE(_xlfn.TEXTAFTER(EST!F30," - "))+TIME(12,0,0),"hh:mm"),
"OFF")),
TEXT(TIMEVALUE(_xlfn.TEXTBEFORE(EST!E30," - "))+TIME(12,0,0),"hh:mm")
&amp; " - " &amp;
TEXT(TIMEVALUE(_xlfn.TEXTAFTER(EST!E30," - "))+TIME(12,0,0),"hh:mm")),"OFF")</f>
        <v>21:00 - 08:00</v>
      </c>
      <c r="G30" t="str">
        <f>IFERROR(IF(EST!F30="OFF",
IF(EST!G30="OFF","OFF",
IF(VALUE(LEFT(EST!G30,2))&lt;12,
TEXT(TIMEVALUE(_xlfn.TEXTBEFORE(EST!G30," - "))+TIME(12,0,0),"hh:mm")
&amp; " - " &amp;
TEXT(TIMEVALUE(_xlfn.TEXTAFTER(EST!G30," - "))+TIME(12,0,0),"hh:mm"),
"OFF")),
TEXT(TIMEVALUE(_xlfn.TEXTBEFORE(EST!F30," - "))+TIME(12,0,0),"hh:mm")
&amp; " - " &amp;
TEXT(TIMEVALUE(_xlfn.TEXTAFTER(EST!F30," - "))+TIME(12,0,0),"hh:mm")),"OFF")</f>
        <v>21:00 - 08:00</v>
      </c>
      <c r="H30" t="str">
        <f>IFERROR(IF(EST!G30="OFF",
IF(EST!H30="OFF","OFF",
IF(VALUE(LEFT(EST!H30,2))&lt;12,
TEXT(TIMEVALUE(_xlfn.TEXTBEFORE(EST!H30," - "))+TIME(12,0,0),"hh:mm")
&amp; " - " &amp;
TEXT(TIMEVALUE(_xlfn.TEXTAFTER(EST!H30," - "))+TIME(12,0,0),"hh:mm"),
"OFF")),
TEXT(TIMEVALUE(_xlfn.TEXTBEFORE(EST!G30," - "))+TIME(12,0,0),"hh:mm")
&amp; " - " &amp;
TEXT(TIMEVALUE(_xlfn.TEXTAFTER(EST!G30," - "))+TIME(12,0,0),"hh:mm")),"OFF")</f>
        <v>21:00 - 08:00</v>
      </c>
      <c r="I30" t="str">
        <f t="shared" si="1"/>
        <v>Mon - Tue - Wed - Thu</v>
      </c>
      <c r="J30" s="38">
        <f>MOD(EST!J30+TIME(12,0,0),1)</f>
        <v>8.3333333333333481E-2</v>
      </c>
      <c r="K30" s="38">
        <f>MOD(EST!K30+TIME(12,0,0),1)</f>
        <v>0.17708333333333348</v>
      </c>
      <c r="L30" s="38">
        <f>MOD(EST!L30+TIME(12,0,0),1)</f>
        <v>0.95833333333333326</v>
      </c>
      <c r="M30" s="38">
        <f>MOD(EST!M30+TIME(12,0,0),1)</f>
        <v>0.27083333333333348</v>
      </c>
      <c r="N30" t="str">
        <f>EST!N30</f>
        <v>Christopher Rodas</v>
      </c>
    </row>
    <row r="31" spans="1:14" x14ac:dyDescent="0.25">
      <c r="A31" t="str">
        <f>EST!A31</f>
        <v>CHARISSE CAPUNO</v>
      </c>
      <c r="B31" t="str">
        <f>IFERROR(IF(EST!H31="OFF",
IF(EST!B31="OFF","OFF",
IF(VALUE(LEFT(EST!B31,2))&lt;12,
TEXT(TIMEVALUE(_xlfn.TEXTBEFORE(EST!B31," - "))+TIME(12,0,0),"hh:mm")
&amp;" - "&amp;
TEXT(TIMEVALUE(_xlfn.TEXTAFTER(EST!B31," - "))+TIME(12,0,0),"hh:mm"),
"OFF")),
IF(VALUE(LEFT(EST!H31,2))&gt;=12,
TEXT(TIMEVALUE(_xlfn.TEXTBEFORE(EST!H31," - "))+TIME(12,0,0),"hh:mm")
&amp;" - "&amp;
TEXT(TIMEVALUE(_xlfn.TEXTAFTER(EST!H31," - "))+TIME(12,0,0),"hh:mm"),
"OFF")),"OFF")</f>
        <v>21:00 - 08:00</v>
      </c>
      <c r="C31" t="str">
        <f>IFERROR(IF(AND(EST!B31&lt;&gt;"OFF",VALUE(LEFT(EST!B31,2))&gt;=12),
TEXT(TIMEVALUE(_xlfn.TEXTBEFORE(EST!B31," - "))+TIME(12,0,0),"hh:mm")
&amp; " - " &amp;
TEXT(TIMEVALUE(_xlfn.TEXTAFTER(EST!B31," - "))+TIME(12,0,0),"hh:mm"),
IF(AND(EST!C31&lt;&gt;"OFF",VALUE(LEFT(EST!C31,2))&lt;12),
TEXT(TIMEVALUE(_xlfn.TEXTBEFORE(EST!C31," - "))+TIME(12,0,0),"hh:mm")
&amp; " - " &amp;
TEXT(TIMEVALUE(_xlfn.TEXTAFTER(EST!C31," - "))+TIME(12,0,0),"hh:mm"),
"OFF")),"OFF")</f>
        <v>OFF</v>
      </c>
      <c r="D31" t="str">
        <f>IFERROR(IF(AND(EST!C31&lt;&gt;"OFF",VALUE(LEFT(EST!C31,2))&gt;=12),
TEXT(TIMEVALUE(_xlfn.TEXTBEFORE(EST!C31," - "))+TIME(12,0,0),"hh:mm")
&amp; " - " &amp;
TEXT(TIMEVALUE(_xlfn.TEXTAFTER(EST!C31," - "))+TIME(12,0,0),"hh:mm"),
IF(AND(EST!D31&lt;&gt;"OFF",VALUE(LEFT(EST!D31,2))&lt;12),
TEXT(TIMEVALUE(_xlfn.TEXTBEFORE(EST!D31," - "))+TIME(12,0,0),"hh:mm")
&amp; " - " &amp;
TEXT(TIMEVALUE(_xlfn.TEXTAFTER(EST!D31," - "))+TIME(12,0,0),"hh:mm"),
"OFF")),"OFF")</f>
        <v>OFF</v>
      </c>
      <c r="E31" t="str">
        <f>IFERROR(IF(AND(EST!D31&lt;&gt;"OFF",VALUE(LEFT(EST!D31,2))&gt;=12),
TEXT(TIMEVALUE(_xlfn.TEXTBEFORE(EST!D31," - "))+TIME(12,0,0),"hh:mm")
&amp; " - " &amp;
TEXT(TIMEVALUE(_xlfn.TEXTAFTER(EST!D31," - "))+TIME(12,0,0),"hh:mm"),
IF(AND(EST!E31&lt;&gt;"OFF",VALUE(LEFT(EST!E31,2))&lt;12),
TEXT(TIMEVALUE(_xlfn.TEXTBEFORE(EST!E31," - "))+TIME(12,0,0),"hh:mm")
&amp; " - " &amp;
TEXT(TIMEVALUE(_xlfn.TEXTAFTER(EST!E31," - "))+TIME(12,0,0),"hh:mm"),
"OFF")),"OFF")</f>
        <v>21:00 - 08:00</v>
      </c>
      <c r="F31" t="str">
        <f>IFERROR(IF(EST!E31="OFF",
IF(EST!F31="OFF","OFF",
IF(VALUE(LEFT(EST!F31,2))&lt;12,
TEXT(TIMEVALUE(_xlfn.TEXTBEFORE(EST!F31," - "))+TIME(12,0,0),"hh:mm")
&amp; " - " &amp;
TEXT(TIMEVALUE(_xlfn.TEXTAFTER(EST!F31," - "))+TIME(12,0,0),"hh:mm"),
"OFF")),
TEXT(TIMEVALUE(_xlfn.TEXTBEFORE(EST!E31," - "))+TIME(12,0,0),"hh:mm")
&amp; " - " &amp;
TEXT(TIMEVALUE(_xlfn.TEXTAFTER(EST!E31," - "))+TIME(12,0,0),"hh:mm")),"OFF")</f>
        <v>21:00 - 08:00</v>
      </c>
      <c r="G31" t="str">
        <f>IFERROR(IF(EST!F31="OFF",
IF(EST!G31="OFF","OFF",
IF(VALUE(LEFT(EST!G31,2))&lt;12,
TEXT(TIMEVALUE(_xlfn.TEXTBEFORE(EST!G31," - "))+TIME(12,0,0),"hh:mm")
&amp; " - " &amp;
TEXT(TIMEVALUE(_xlfn.TEXTAFTER(EST!G31," - "))+TIME(12,0,0),"hh:mm"),
"OFF")),
TEXT(TIMEVALUE(_xlfn.TEXTBEFORE(EST!F31," - "))+TIME(12,0,0),"hh:mm")
&amp; " - " &amp;
TEXT(TIMEVALUE(_xlfn.TEXTAFTER(EST!F31," - "))+TIME(12,0,0),"hh:mm")),"OFF")</f>
        <v>21:00 - 08:00</v>
      </c>
      <c r="H31" t="str">
        <f>IFERROR(IF(EST!G31="OFF",
IF(EST!H31="OFF","OFF",
IF(VALUE(LEFT(EST!H31,2))&lt;12,
TEXT(TIMEVALUE(_xlfn.TEXTBEFORE(EST!H31," - "))+TIME(12,0,0),"hh:mm")
&amp; " - " &amp;
TEXT(TIMEVALUE(_xlfn.TEXTAFTER(EST!H31," - "))+TIME(12,0,0),"hh:mm"),
"OFF")),
TEXT(TIMEVALUE(_xlfn.TEXTBEFORE(EST!G31," - "))+TIME(12,0,0),"hh:mm")
&amp; " - " &amp;
TEXT(TIMEVALUE(_xlfn.TEXTAFTER(EST!G31," - "))+TIME(12,0,0),"hh:mm")),"OFF")</f>
        <v>OFF</v>
      </c>
      <c r="I31" t="str">
        <f t="shared" si="1"/>
        <v>Tue - Wed - Sun</v>
      </c>
      <c r="J31" s="38">
        <f>MOD(EST!J31+TIME(12,0,0),1)</f>
        <v>0.96875</v>
      </c>
      <c r="K31" s="38">
        <f>MOD(EST!K31+TIME(12,0,0),1)</f>
        <v>6.25E-2</v>
      </c>
      <c r="L31" s="38">
        <f>MOD(EST!L31+TIME(12,0,0),1)</f>
        <v>0.25</v>
      </c>
      <c r="M31" s="38">
        <f>MOD(EST!M31+TIME(12,0,0),1)</f>
        <v>0.15625</v>
      </c>
      <c r="N31" t="str">
        <f>EST!N31</f>
        <v>Anmecha Valencia</v>
      </c>
    </row>
    <row r="32" spans="1:14" x14ac:dyDescent="0.25">
      <c r="A32" t="str">
        <f>EST!A32</f>
        <v>EDUARDO JACINTO</v>
      </c>
      <c r="B32" t="str">
        <f>IFERROR(IF(EST!H32="OFF",
IF(EST!B32="OFF","OFF",
IF(VALUE(LEFT(EST!B32,2))&lt;12,
TEXT(TIMEVALUE(_xlfn.TEXTBEFORE(EST!B32," - "))+TIME(12,0,0),"hh:mm")
&amp;" - "&amp;
TEXT(TIMEVALUE(_xlfn.TEXTAFTER(EST!B32," - "))+TIME(12,0,0),"hh:mm"),
"OFF")),
IF(VALUE(LEFT(EST!H32,2))&gt;=12,
TEXT(TIMEVALUE(_xlfn.TEXTBEFORE(EST!H32," - "))+TIME(12,0,0),"hh:mm")
&amp;" - "&amp;
TEXT(TIMEVALUE(_xlfn.TEXTAFTER(EST!H32," - "))+TIME(12,0,0),"hh:mm"),
"OFF")),"OFF")</f>
        <v>21:00 - 08:00</v>
      </c>
      <c r="C32" t="str">
        <f>IFERROR(IF(AND(EST!B32&lt;&gt;"OFF",VALUE(LEFT(EST!B32,2))&gt;=12),
TEXT(TIMEVALUE(_xlfn.TEXTBEFORE(EST!B32," - "))+TIME(12,0,0),"hh:mm")
&amp; " - " &amp;
TEXT(TIMEVALUE(_xlfn.TEXTAFTER(EST!B32," - "))+TIME(12,0,0),"hh:mm"),
IF(AND(EST!C32&lt;&gt;"OFF",VALUE(LEFT(EST!C32,2))&lt;12),
TEXT(TIMEVALUE(_xlfn.TEXTBEFORE(EST!C32," - "))+TIME(12,0,0),"hh:mm")
&amp; " - " &amp;
TEXT(TIMEVALUE(_xlfn.TEXTAFTER(EST!C32," - "))+TIME(12,0,0),"hh:mm"),
"OFF")),"OFF")</f>
        <v>21:00 - 08:00</v>
      </c>
      <c r="D32" t="str">
        <f>IFERROR(IF(AND(EST!C32&lt;&gt;"OFF",VALUE(LEFT(EST!C32,2))&gt;=12),
TEXT(TIMEVALUE(_xlfn.TEXTBEFORE(EST!C32," - "))+TIME(12,0,0),"hh:mm")
&amp; " - " &amp;
TEXT(TIMEVALUE(_xlfn.TEXTAFTER(EST!C32," - "))+TIME(12,0,0),"hh:mm"),
IF(AND(EST!D32&lt;&gt;"OFF",VALUE(LEFT(EST!D32,2))&lt;12),
TEXT(TIMEVALUE(_xlfn.TEXTBEFORE(EST!D32," - "))+TIME(12,0,0),"hh:mm")
&amp; " - " &amp;
TEXT(TIMEVALUE(_xlfn.TEXTAFTER(EST!D32," - "))+TIME(12,0,0),"hh:mm"),
"OFF")),"OFF")</f>
        <v>21:00 - 08:00</v>
      </c>
      <c r="E32" t="str">
        <f>IFERROR(IF(AND(EST!D32&lt;&gt;"OFF",VALUE(LEFT(EST!D32,2))&gt;=12),
TEXT(TIMEVALUE(_xlfn.TEXTBEFORE(EST!D32," - "))+TIME(12,0,0),"hh:mm")
&amp; " - " &amp;
TEXT(TIMEVALUE(_xlfn.TEXTAFTER(EST!D32," - "))+TIME(12,0,0),"hh:mm"),
IF(AND(EST!E32&lt;&gt;"OFF",VALUE(LEFT(EST!E32,2))&lt;12),
TEXT(TIMEVALUE(_xlfn.TEXTBEFORE(EST!E32," - "))+TIME(12,0,0),"hh:mm")
&amp; " - " &amp;
TEXT(TIMEVALUE(_xlfn.TEXTAFTER(EST!E32," - "))+TIME(12,0,0),"hh:mm"),
"OFF")),"OFF")</f>
        <v>OFF</v>
      </c>
      <c r="F32" t="str">
        <f>IFERROR(IF(EST!E32="OFF",
IF(EST!F32="OFF","OFF",
IF(VALUE(LEFT(EST!F32,2))&lt;12,
TEXT(TIMEVALUE(_xlfn.TEXTBEFORE(EST!F32," - "))+TIME(12,0,0),"hh:mm")
&amp; " - " &amp;
TEXT(TIMEVALUE(_xlfn.TEXTAFTER(EST!F32," - "))+TIME(12,0,0),"hh:mm"),
"OFF")),
TEXT(TIMEVALUE(_xlfn.TEXTBEFORE(EST!E32," - "))+TIME(12,0,0),"hh:mm")
&amp; " - " &amp;
TEXT(TIMEVALUE(_xlfn.TEXTAFTER(EST!E32," - "))+TIME(12,0,0),"hh:mm")),"OFF")</f>
        <v>21:00 - 08:00</v>
      </c>
      <c r="G32" t="str">
        <f>IFERROR(IF(EST!F32="OFF",
IF(EST!G32="OFF","OFF",
IF(VALUE(LEFT(EST!G32,2))&lt;12,
TEXT(TIMEVALUE(_xlfn.TEXTBEFORE(EST!G32," - "))+TIME(12,0,0),"hh:mm")
&amp; " - " &amp;
TEXT(TIMEVALUE(_xlfn.TEXTAFTER(EST!G32," - "))+TIME(12,0,0),"hh:mm"),
"OFF")),
TEXT(TIMEVALUE(_xlfn.TEXTBEFORE(EST!F32," - "))+TIME(12,0,0),"hh:mm")
&amp; " - " &amp;
TEXT(TIMEVALUE(_xlfn.TEXTAFTER(EST!F32," - "))+TIME(12,0,0),"hh:mm")),"OFF")</f>
        <v>21:00 - 08:00</v>
      </c>
      <c r="H32" t="str">
        <f>IFERROR(IF(EST!G32="OFF",
IF(EST!H32="OFF","OFF",
IF(VALUE(LEFT(EST!H32,2))&lt;12,
TEXT(TIMEVALUE(_xlfn.TEXTBEFORE(EST!H32," - "))+TIME(12,0,0),"hh:mm")
&amp; " - " &amp;
TEXT(TIMEVALUE(_xlfn.TEXTAFTER(EST!H32," - "))+TIME(12,0,0),"hh:mm"),
"OFF")),
TEXT(TIMEVALUE(_xlfn.TEXTBEFORE(EST!G32," - "))+TIME(12,0,0),"hh:mm")
&amp; " - " &amp;
TEXT(TIMEVALUE(_xlfn.TEXTAFTER(EST!G32," - "))+TIME(12,0,0),"hh:mm")),"OFF")</f>
        <v>OFF</v>
      </c>
      <c r="I32" t="str">
        <f t="shared" si="1"/>
        <v>Thu - Sun</v>
      </c>
      <c r="J32" s="38">
        <f>MOD(EST!J32+TIME(12,0,0),1)</f>
        <v>0.95833333333333326</v>
      </c>
      <c r="K32" s="38">
        <f>MOD(EST!K32+TIME(12,0,0),1)</f>
        <v>7.2916666666666519E-2</v>
      </c>
      <c r="L32" s="38">
        <f>MOD(EST!L32+TIME(12,0,0),1)</f>
        <v>0.14583333333333348</v>
      </c>
      <c r="M32" s="38">
        <f>MOD(EST!M32+TIME(12,0,0),1)</f>
        <v>0.27083333333333348</v>
      </c>
      <c r="N32" t="str">
        <f>EST!N32</f>
        <v>Anmecha Valencia</v>
      </c>
    </row>
    <row r="33" spans="1:14" x14ac:dyDescent="0.25">
      <c r="A33" t="str">
        <f>EST!A33</f>
        <v>ELIJAH JEREMY RACCA</v>
      </c>
      <c r="B33" t="str">
        <f>IFERROR(IF(EST!H33="OFF",
IF(EST!B33="OFF","OFF",
IF(VALUE(LEFT(EST!B33,2))&lt;12,
TEXT(TIMEVALUE(_xlfn.TEXTBEFORE(EST!B33," - "))+TIME(12,0,0),"hh:mm")
&amp;" - "&amp;
TEXT(TIMEVALUE(_xlfn.TEXTAFTER(EST!B33," - "))+TIME(12,0,0),"hh:mm"),
"OFF")),
IF(VALUE(LEFT(EST!H33,2))&gt;=12,
TEXT(TIMEVALUE(_xlfn.TEXTBEFORE(EST!H33," - "))+TIME(12,0,0),"hh:mm")
&amp;" - "&amp;
TEXT(TIMEVALUE(_xlfn.TEXTAFTER(EST!H33," - "))+TIME(12,0,0),"hh:mm"),
"OFF")),"OFF")</f>
        <v>21:00 - 08:00</v>
      </c>
      <c r="C33" t="str">
        <f>IFERROR(IF(AND(EST!B33&lt;&gt;"OFF",VALUE(LEFT(EST!B33,2))&gt;=12),
TEXT(TIMEVALUE(_xlfn.TEXTBEFORE(EST!B33," - "))+TIME(12,0,0),"hh:mm")
&amp; " - " &amp;
TEXT(TIMEVALUE(_xlfn.TEXTAFTER(EST!B33," - "))+TIME(12,0,0),"hh:mm"),
IF(AND(EST!C33&lt;&gt;"OFF",VALUE(LEFT(EST!C33,2))&lt;12),
TEXT(TIMEVALUE(_xlfn.TEXTBEFORE(EST!C33," - "))+TIME(12,0,0),"hh:mm")
&amp; " - " &amp;
TEXT(TIMEVALUE(_xlfn.TEXTAFTER(EST!C33," - "))+TIME(12,0,0),"hh:mm"),
"OFF")),"OFF")</f>
        <v>21:00 - 08:00</v>
      </c>
      <c r="D33" t="str">
        <f>IFERROR(IF(AND(EST!C33&lt;&gt;"OFF",VALUE(LEFT(EST!C33,2))&gt;=12),
TEXT(TIMEVALUE(_xlfn.TEXTBEFORE(EST!C33," - "))+TIME(12,0,0),"hh:mm")
&amp; " - " &amp;
TEXT(TIMEVALUE(_xlfn.TEXTAFTER(EST!C33," - "))+TIME(12,0,0),"hh:mm"),
IF(AND(EST!D33&lt;&gt;"OFF",VALUE(LEFT(EST!D33,2))&lt;12),
TEXT(TIMEVALUE(_xlfn.TEXTBEFORE(EST!D33," - "))+TIME(12,0,0),"hh:mm")
&amp; " - " &amp;
TEXT(TIMEVALUE(_xlfn.TEXTAFTER(EST!D33," - "))+TIME(12,0,0),"hh:mm"),
"OFF")),"OFF")</f>
        <v>OFF</v>
      </c>
      <c r="E33" t="str">
        <f>IFERROR(IF(AND(EST!D33&lt;&gt;"OFF",VALUE(LEFT(EST!D33,2))&gt;=12),
TEXT(TIMEVALUE(_xlfn.TEXTBEFORE(EST!D33," - "))+TIME(12,0,0),"hh:mm")
&amp; " - " &amp;
TEXT(TIMEVALUE(_xlfn.TEXTAFTER(EST!D33," - "))+TIME(12,0,0),"hh:mm"),
IF(AND(EST!E33&lt;&gt;"OFF",VALUE(LEFT(EST!E33,2))&lt;12),
TEXT(TIMEVALUE(_xlfn.TEXTBEFORE(EST!E33," - "))+TIME(12,0,0),"hh:mm")
&amp; " - " &amp;
TEXT(TIMEVALUE(_xlfn.TEXTAFTER(EST!E33," - "))+TIME(12,0,0),"hh:mm"),
"OFF")),"OFF")</f>
        <v>OFF</v>
      </c>
      <c r="F33" t="str">
        <f>IFERROR(IF(EST!E33="OFF",
IF(EST!F33="OFF","OFF",
IF(VALUE(LEFT(EST!F33,2))&lt;12,
TEXT(TIMEVALUE(_xlfn.TEXTBEFORE(EST!F33," - "))+TIME(12,0,0),"hh:mm")
&amp; " - " &amp;
TEXT(TIMEVALUE(_xlfn.TEXTAFTER(EST!F33," - "))+TIME(12,0,0),"hh:mm"),
"OFF")),
TEXT(TIMEVALUE(_xlfn.TEXTBEFORE(EST!E33," - "))+TIME(12,0,0),"hh:mm")
&amp; " - " &amp;
TEXT(TIMEVALUE(_xlfn.TEXTAFTER(EST!E33," - "))+TIME(12,0,0),"hh:mm")),"OFF")</f>
        <v>21:00 - 08:00</v>
      </c>
      <c r="G33" t="str">
        <f>IFERROR(IF(EST!F33="OFF",
IF(EST!G33="OFF","OFF",
IF(VALUE(LEFT(EST!G33,2))&lt;12,
TEXT(TIMEVALUE(_xlfn.TEXTBEFORE(EST!G33," - "))+TIME(12,0,0),"hh:mm")
&amp; " - " &amp;
TEXT(TIMEVALUE(_xlfn.TEXTAFTER(EST!G33," - "))+TIME(12,0,0),"hh:mm"),
"OFF")),
TEXT(TIMEVALUE(_xlfn.TEXTBEFORE(EST!F33," - "))+TIME(12,0,0),"hh:mm")
&amp; " - " &amp;
TEXT(TIMEVALUE(_xlfn.TEXTAFTER(EST!F33," - "))+TIME(12,0,0),"hh:mm")),"OFF")</f>
        <v>21:00 - 08:00</v>
      </c>
      <c r="H33" t="str">
        <f>IFERROR(IF(EST!G33="OFF",
IF(EST!H33="OFF","OFF",
IF(VALUE(LEFT(EST!H33,2))&lt;12,
TEXT(TIMEVALUE(_xlfn.TEXTBEFORE(EST!H33," - "))+TIME(12,0,0),"hh:mm")
&amp; " - " &amp;
TEXT(TIMEVALUE(_xlfn.TEXTAFTER(EST!H33," - "))+TIME(12,0,0),"hh:mm"),
"OFF")),
TEXT(TIMEVALUE(_xlfn.TEXTBEFORE(EST!G33," - "))+TIME(12,0,0),"hh:mm")
&amp; " - " &amp;
TEXT(TIMEVALUE(_xlfn.TEXTAFTER(EST!G33," - "))+TIME(12,0,0),"hh:mm")),"OFF")</f>
        <v>OFF</v>
      </c>
      <c r="I33" t="str">
        <f t="shared" si="1"/>
        <v>Wed - Thu - Sun</v>
      </c>
      <c r="J33" s="38">
        <f>MOD(EST!J33+TIME(12,0,0),1)</f>
        <v>0.98958333333333326</v>
      </c>
      <c r="K33" s="38">
        <f>MOD(EST!K33+TIME(12,0,0),1)</f>
        <v>7.2916666666666519E-2</v>
      </c>
      <c r="L33" s="38">
        <f>MOD(EST!L33+TIME(12,0,0),1)</f>
        <v>0.16666666666666652</v>
      </c>
      <c r="M33" s="38">
        <f>MOD(EST!M33+TIME(12,0,0),1)</f>
        <v>0.25</v>
      </c>
      <c r="N33" t="str">
        <f>EST!N33</f>
        <v>Anmecha Valencia</v>
      </c>
    </row>
    <row r="34" spans="1:14" x14ac:dyDescent="0.25">
      <c r="A34" t="str">
        <f>EST!A34</f>
        <v>JOSHUA MENDOZA</v>
      </c>
      <c r="B34" t="str">
        <f>IFERROR(IF(EST!H34="OFF",
IF(EST!B34="OFF","OFF",
IF(VALUE(LEFT(EST!B34,2))&lt;12,
TEXT(TIMEVALUE(_xlfn.TEXTBEFORE(EST!B34," - "))+TIME(12,0,0),"hh:mm")
&amp;" - "&amp;
TEXT(TIMEVALUE(_xlfn.TEXTAFTER(EST!B34," - "))+TIME(12,0,0),"hh:mm"),
"OFF")),
IF(VALUE(LEFT(EST!H34,2))&gt;=12,
TEXT(TIMEVALUE(_xlfn.TEXTBEFORE(EST!H34," - "))+TIME(12,0,0),"hh:mm")
&amp;" - "&amp;
TEXT(TIMEVALUE(_xlfn.TEXTAFTER(EST!H34," - "))+TIME(12,0,0),"hh:mm"),
"OFF")),"OFF")</f>
        <v>21:00 - 08:00</v>
      </c>
      <c r="C34" t="str">
        <f>IFERROR(IF(AND(EST!B34&lt;&gt;"OFF",VALUE(LEFT(EST!B34,2))&gt;=12),
TEXT(TIMEVALUE(_xlfn.TEXTBEFORE(EST!B34," - "))+TIME(12,0,0),"hh:mm")
&amp; " - " &amp;
TEXT(TIMEVALUE(_xlfn.TEXTAFTER(EST!B34," - "))+TIME(12,0,0),"hh:mm"),
IF(AND(EST!C34&lt;&gt;"OFF",VALUE(LEFT(EST!C34,2))&lt;12),
TEXT(TIMEVALUE(_xlfn.TEXTBEFORE(EST!C34," - "))+TIME(12,0,0),"hh:mm")
&amp; " - " &amp;
TEXT(TIMEVALUE(_xlfn.TEXTAFTER(EST!C34," - "))+TIME(12,0,0),"hh:mm"),
"OFF")),"OFF")</f>
        <v>21:00 - 08:00</v>
      </c>
      <c r="D34" t="str">
        <f>IFERROR(IF(AND(EST!C34&lt;&gt;"OFF",VALUE(LEFT(EST!C34,2))&gt;=12),
TEXT(TIMEVALUE(_xlfn.TEXTBEFORE(EST!C34," - "))+TIME(12,0,0),"hh:mm")
&amp; " - " &amp;
TEXT(TIMEVALUE(_xlfn.TEXTAFTER(EST!C34," - "))+TIME(12,0,0),"hh:mm"),
IF(AND(EST!D34&lt;&gt;"OFF",VALUE(LEFT(EST!D34,2))&lt;12),
TEXT(TIMEVALUE(_xlfn.TEXTBEFORE(EST!D34," - "))+TIME(12,0,0),"hh:mm")
&amp; " - " &amp;
TEXT(TIMEVALUE(_xlfn.TEXTAFTER(EST!D34," - "))+TIME(12,0,0),"hh:mm"),
"OFF")),"OFF")</f>
        <v>21:00 - 08:00</v>
      </c>
      <c r="E34" t="str">
        <f>IFERROR(IF(AND(EST!D34&lt;&gt;"OFF",VALUE(LEFT(EST!D34,2))&gt;=12),
TEXT(TIMEVALUE(_xlfn.TEXTBEFORE(EST!D34," - "))+TIME(12,0,0),"hh:mm")
&amp; " - " &amp;
TEXT(TIMEVALUE(_xlfn.TEXTAFTER(EST!D34," - "))+TIME(12,0,0),"hh:mm"),
IF(AND(EST!E34&lt;&gt;"OFF",VALUE(LEFT(EST!E34,2))&lt;12),
TEXT(TIMEVALUE(_xlfn.TEXTBEFORE(EST!E34," - "))+TIME(12,0,0),"hh:mm")
&amp; " - " &amp;
TEXT(TIMEVALUE(_xlfn.TEXTAFTER(EST!E34," - "))+TIME(12,0,0),"hh:mm"),
"OFF")),"OFF")</f>
        <v>OFF</v>
      </c>
      <c r="F34" t="str">
        <f>IFERROR(IF(EST!E34="OFF",
IF(EST!F34="OFF","OFF",
IF(VALUE(LEFT(EST!F34,2))&lt;12,
TEXT(TIMEVALUE(_xlfn.TEXTBEFORE(EST!F34," - "))+TIME(12,0,0),"hh:mm")
&amp; " - " &amp;
TEXT(TIMEVALUE(_xlfn.TEXTAFTER(EST!F34," - "))+TIME(12,0,0),"hh:mm"),
"OFF")),
TEXT(TIMEVALUE(_xlfn.TEXTBEFORE(EST!E34," - "))+TIME(12,0,0),"hh:mm")
&amp; " - " &amp;
TEXT(TIMEVALUE(_xlfn.TEXTAFTER(EST!E34," - "))+TIME(12,0,0),"hh:mm")),"OFF")</f>
        <v>21:00 - 08:00</v>
      </c>
      <c r="G34" t="str">
        <f>IFERROR(IF(EST!F34="OFF",
IF(EST!G34="OFF","OFF",
IF(VALUE(LEFT(EST!G34,2))&lt;12,
TEXT(TIMEVALUE(_xlfn.TEXTBEFORE(EST!G34," - "))+TIME(12,0,0),"hh:mm")
&amp; " - " &amp;
TEXT(TIMEVALUE(_xlfn.TEXTAFTER(EST!G34," - "))+TIME(12,0,0),"hh:mm"),
"OFF")),
TEXT(TIMEVALUE(_xlfn.TEXTBEFORE(EST!F34," - "))+TIME(12,0,0),"hh:mm")
&amp; " - " &amp;
TEXT(TIMEVALUE(_xlfn.TEXTAFTER(EST!F34," - "))+TIME(12,0,0),"hh:mm")),"OFF")</f>
        <v>21:00 - 08:00</v>
      </c>
      <c r="H34" t="str">
        <f>IFERROR(IF(EST!G34="OFF",
IF(EST!H34="OFF","OFF",
IF(VALUE(LEFT(EST!H34,2))&lt;12,
TEXT(TIMEVALUE(_xlfn.TEXTBEFORE(EST!H34," - "))+TIME(12,0,0),"hh:mm")
&amp; " - " &amp;
TEXT(TIMEVALUE(_xlfn.TEXTAFTER(EST!H34," - "))+TIME(12,0,0),"hh:mm"),
"OFF")),
TEXT(TIMEVALUE(_xlfn.TEXTBEFORE(EST!G34," - "))+TIME(12,0,0),"hh:mm")
&amp; " - " &amp;
TEXT(TIMEVALUE(_xlfn.TEXTAFTER(EST!G34," - "))+TIME(12,0,0),"hh:mm")),"OFF")</f>
        <v>OFF</v>
      </c>
      <c r="I34" t="str">
        <f t="shared" si="1"/>
        <v>Thu - Sun</v>
      </c>
      <c r="J34" s="38">
        <f>MOD(EST!J34+TIME(12,0,0),1)</f>
        <v>0.95833333333333326</v>
      </c>
      <c r="K34" s="38">
        <f>MOD(EST!K34+TIME(12,0,0),1)</f>
        <v>5.2083333333333481E-2</v>
      </c>
      <c r="L34" s="38">
        <f>MOD(EST!L34+TIME(12,0,0),1)</f>
        <v>0.125</v>
      </c>
      <c r="M34" s="38">
        <f>MOD(EST!M34+TIME(12,0,0),1)</f>
        <v>0.27083333333333348</v>
      </c>
      <c r="N34" t="str">
        <f>EST!N34</f>
        <v>Anmecha Valencia</v>
      </c>
    </row>
    <row r="35" spans="1:14" x14ac:dyDescent="0.25">
      <c r="A35" t="str">
        <f>EST!A35</f>
        <v>LEE JOSEPH AGBANLOG</v>
      </c>
      <c r="B35" t="str">
        <f>IFERROR(IF(EST!H35="OFF",
IF(EST!B35="OFF","OFF",
IF(VALUE(LEFT(EST!B35,2))&lt;12,
TEXT(TIMEVALUE(_xlfn.TEXTBEFORE(EST!B35," - "))+TIME(12,0,0),"hh:mm")
&amp;" - "&amp;
TEXT(TIMEVALUE(_xlfn.TEXTAFTER(EST!B35," - "))+TIME(12,0,0),"hh:mm"),
"OFF")),
IF(VALUE(LEFT(EST!H35,2))&gt;=12,
TEXT(TIMEVALUE(_xlfn.TEXTBEFORE(EST!H35," - "))+TIME(12,0,0),"hh:mm")
&amp;" - "&amp;
TEXT(TIMEVALUE(_xlfn.TEXTAFTER(EST!H35," - "))+TIME(12,0,0),"hh:mm"),
"OFF")),"OFF")</f>
        <v>21:00 - 08:00</v>
      </c>
      <c r="C35" t="str">
        <f>IFERROR(IF(AND(EST!B35&lt;&gt;"OFF",VALUE(LEFT(EST!B35,2))&gt;=12),
TEXT(TIMEVALUE(_xlfn.TEXTBEFORE(EST!B35," - "))+TIME(12,0,0),"hh:mm")
&amp; " - " &amp;
TEXT(TIMEVALUE(_xlfn.TEXTAFTER(EST!B35," - "))+TIME(12,0,0),"hh:mm"),
IF(AND(EST!C35&lt;&gt;"OFF",VALUE(LEFT(EST!C35,2))&lt;12),
TEXT(TIMEVALUE(_xlfn.TEXTBEFORE(EST!C35," - "))+TIME(12,0,0),"hh:mm")
&amp; " - " &amp;
TEXT(TIMEVALUE(_xlfn.TEXTAFTER(EST!C35," - "))+TIME(12,0,0),"hh:mm"),
"OFF")),"OFF")</f>
        <v>21:00 - 08:00</v>
      </c>
      <c r="D35" t="str">
        <f>IFERROR(IF(AND(EST!C35&lt;&gt;"OFF",VALUE(LEFT(EST!C35,2))&gt;=12),
TEXT(TIMEVALUE(_xlfn.TEXTBEFORE(EST!C35," - "))+TIME(12,0,0),"hh:mm")
&amp; " - " &amp;
TEXT(TIMEVALUE(_xlfn.TEXTAFTER(EST!C35," - "))+TIME(12,0,0),"hh:mm"),
IF(AND(EST!D35&lt;&gt;"OFF",VALUE(LEFT(EST!D35,2))&lt;12),
TEXT(TIMEVALUE(_xlfn.TEXTBEFORE(EST!D35," - "))+TIME(12,0,0),"hh:mm")
&amp; " - " &amp;
TEXT(TIMEVALUE(_xlfn.TEXTAFTER(EST!D35," - "))+TIME(12,0,0),"hh:mm"),
"OFF")),"OFF")</f>
        <v>OFF</v>
      </c>
      <c r="E35" t="str">
        <f>IFERROR(IF(AND(EST!D35&lt;&gt;"OFF",VALUE(LEFT(EST!D35,2))&gt;=12),
TEXT(TIMEVALUE(_xlfn.TEXTBEFORE(EST!D35," - "))+TIME(12,0,0),"hh:mm")
&amp; " - " &amp;
TEXT(TIMEVALUE(_xlfn.TEXTAFTER(EST!D35," - "))+TIME(12,0,0),"hh:mm"),
IF(AND(EST!E35&lt;&gt;"OFF",VALUE(LEFT(EST!E35,2))&lt;12),
TEXT(TIMEVALUE(_xlfn.TEXTBEFORE(EST!E35," - "))+TIME(12,0,0),"hh:mm")
&amp; " - " &amp;
TEXT(TIMEVALUE(_xlfn.TEXTAFTER(EST!E35," - "))+TIME(12,0,0),"hh:mm"),
"OFF")),"OFF")</f>
        <v>OFF</v>
      </c>
      <c r="F35" t="str">
        <f>IFERROR(IF(EST!E35="OFF",
IF(EST!F35="OFF","OFF",
IF(VALUE(LEFT(EST!F35,2))&lt;12,
TEXT(TIMEVALUE(_xlfn.TEXTBEFORE(EST!F35," - "))+TIME(12,0,0),"hh:mm")
&amp; " - " &amp;
TEXT(TIMEVALUE(_xlfn.TEXTAFTER(EST!F35," - "))+TIME(12,0,0),"hh:mm"),
"OFF")),
TEXT(TIMEVALUE(_xlfn.TEXTBEFORE(EST!E35," - "))+TIME(12,0,0),"hh:mm")
&amp; " - " &amp;
TEXT(TIMEVALUE(_xlfn.TEXTAFTER(EST!E35," - "))+TIME(12,0,0),"hh:mm")),"OFF")</f>
        <v>21:00 - 08:00</v>
      </c>
      <c r="G35" t="str">
        <f>IFERROR(IF(EST!F35="OFF",
IF(EST!G35="OFF","OFF",
IF(VALUE(LEFT(EST!G35,2))&lt;12,
TEXT(TIMEVALUE(_xlfn.TEXTBEFORE(EST!G35," - "))+TIME(12,0,0),"hh:mm")
&amp; " - " &amp;
TEXT(TIMEVALUE(_xlfn.TEXTAFTER(EST!G35," - "))+TIME(12,0,0),"hh:mm"),
"OFF")),
TEXT(TIMEVALUE(_xlfn.TEXTBEFORE(EST!F35," - "))+TIME(12,0,0),"hh:mm")
&amp; " - " &amp;
TEXT(TIMEVALUE(_xlfn.TEXTAFTER(EST!F35," - "))+TIME(12,0,0),"hh:mm")),"OFF")</f>
        <v>21:00 - 08:00</v>
      </c>
      <c r="H35" t="str">
        <f>IFERROR(IF(EST!G35="OFF",
IF(EST!H35="OFF","OFF",
IF(VALUE(LEFT(EST!H35,2))&lt;12,
TEXT(TIMEVALUE(_xlfn.TEXTBEFORE(EST!H35," - "))+TIME(12,0,0),"hh:mm")
&amp; " - " &amp;
TEXT(TIMEVALUE(_xlfn.TEXTAFTER(EST!H35," - "))+TIME(12,0,0),"hh:mm"),
"OFF")),
TEXT(TIMEVALUE(_xlfn.TEXTBEFORE(EST!G35," - "))+TIME(12,0,0),"hh:mm")
&amp; " - " &amp;
TEXT(TIMEVALUE(_xlfn.TEXTAFTER(EST!G35," - "))+TIME(12,0,0),"hh:mm")),"OFF")</f>
        <v>OFF</v>
      </c>
      <c r="I35" t="str">
        <f t="shared" si="1"/>
        <v>Wed - Thu - Sun</v>
      </c>
      <c r="J35" s="38">
        <f>MOD(EST!J35+TIME(12,0,0),1)</f>
        <v>0.98958333333333326</v>
      </c>
      <c r="K35" s="38">
        <f>MOD(EST!K35+TIME(12,0,0),1)</f>
        <v>0.19791666666666652</v>
      </c>
      <c r="L35" s="38">
        <f>MOD(EST!L35+TIME(12,0,0),1)</f>
        <v>7.2916666666666519E-2</v>
      </c>
      <c r="M35" s="38">
        <f>MOD(EST!M35+TIME(12,0,0),1)</f>
        <v>0.28125</v>
      </c>
      <c r="N35" t="str">
        <f>EST!N35</f>
        <v>Michael Dominguez</v>
      </c>
    </row>
    <row r="36" spans="1:14" x14ac:dyDescent="0.25">
      <c r="A36" t="str">
        <f>EST!A36</f>
        <v>LOVELYN NICOLE MAGCUYAO</v>
      </c>
      <c r="B36" t="str">
        <f>IFERROR(IF(EST!H36="OFF",
IF(EST!B36="OFF","OFF",
IF(VALUE(LEFT(EST!B36,2))&lt;12,
TEXT(TIMEVALUE(_xlfn.TEXTBEFORE(EST!B36," - "))+TIME(12,0,0),"hh:mm")
&amp;" - "&amp;
TEXT(TIMEVALUE(_xlfn.TEXTAFTER(EST!B36," - "))+TIME(12,0,0),"hh:mm"),
"OFF")),
IF(VALUE(LEFT(EST!H36,2))&gt;=12,
TEXT(TIMEVALUE(_xlfn.TEXTBEFORE(EST!H36," - "))+TIME(12,0,0),"hh:mm")
&amp;" - "&amp;
TEXT(TIMEVALUE(_xlfn.TEXTAFTER(EST!H36," - "))+TIME(12,0,0),"hh:mm"),
"OFF")),"OFF")</f>
        <v>21:00 - 08:00</v>
      </c>
      <c r="C36" t="str">
        <f>IFERROR(IF(AND(EST!B36&lt;&gt;"OFF",VALUE(LEFT(EST!B36,2))&gt;=12),
TEXT(TIMEVALUE(_xlfn.TEXTBEFORE(EST!B36," - "))+TIME(12,0,0),"hh:mm")
&amp; " - " &amp;
TEXT(TIMEVALUE(_xlfn.TEXTAFTER(EST!B36," - "))+TIME(12,0,0),"hh:mm"),
IF(AND(EST!C36&lt;&gt;"OFF",VALUE(LEFT(EST!C36,2))&lt;12),
TEXT(TIMEVALUE(_xlfn.TEXTBEFORE(EST!C36," - "))+TIME(12,0,0),"hh:mm")
&amp; " - " &amp;
TEXT(TIMEVALUE(_xlfn.TEXTAFTER(EST!C36," - "))+TIME(12,0,0),"hh:mm"),
"OFF")),"OFF")</f>
        <v>21:00 - 08:00</v>
      </c>
      <c r="D36" t="str">
        <f>IFERROR(IF(AND(EST!C36&lt;&gt;"OFF",VALUE(LEFT(EST!C36,2))&gt;=12),
TEXT(TIMEVALUE(_xlfn.TEXTBEFORE(EST!C36," - "))+TIME(12,0,0),"hh:mm")
&amp; " - " &amp;
TEXT(TIMEVALUE(_xlfn.TEXTAFTER(EST!C36," - "))+TIME(12,0,0),"hh:mm"),
IF(AND(EST!D36&lt;&gt;"OFF",VALUE(LEFT(EST!D36,2))&lt;12),
TEXT(TIMEVALUE(_xlfn.TEXTBEFORE(EST!D36," - "))+TIME(12,0,0),"hh:mm")
&amp; " - " &amp;
TEXT(TIMEVALUE(_xlfn.TEXTAFTER(EST!D36," - "))+TIME(12,0,0),"hh:mm"),
"OFF")),"OFF")</f>
        <v>21:00 - 08:00</v>
      </c>
      <c r="E36" t="str">
        <f>IFERROR(IF(AND(EST!D36&lt;&gt;"OFF",VALUE(LEFT(EST!D36,2))&gt;=12),
TEXT(TIMEVALUE(_xlfn.TEXTBEFORE(EST!D36," - "))+TIME(12,0,0),"hh:mm")
&amp; " - " &amp;
TEXT(TIMEVALUE(_xlfn.TEXTAFTER(EST!D36," - "))+TIME(12,0,0),"hh:mm"),
IF(AND(EST!E36&lt;&gt;"OFF",VALUE(LEFT(EST!E36,2))&lt;12),
TEXT(TIMEVALUE(_xlfn.TEXTBEFORE(EST!E36," - "))+TIME(12,0,0),"hh:mm")
&amp; " - " &amp;
TEXT(TIMEVALUE(_xlfn.TEXTAFTER(EST!E36," - "))+TIME(12,0,0),"hh:mm"),
"OFF")),"OFF")</f>
        <v>21:00 - 08:00</v>
      </c>
      <c r="F36" t="str">
        <f>IFERROR(IF(EST!E36="OFF",
IF(EST!F36="OFF","OFF",
IF(VALUE(LEFT(EST!F36,2))&lt;12,
TEXT(TIMEVALUE(_xlfn.TEXTBEFORE(EST!F36," - "))+TIME(12,0,0),"hh:mm")
&amp; " - " &amp;
TEXT(TIMEVALUE(_xlfn.TEXTAFTER(EST!F36," - "))+TIME(12,0,0),"hh:mm"),
"OFF")),
TEXT(TIMEVALUE(_xlfn.TEXTBEFORE(EST!E36," - "))+TIME(12,0,0),"hh:mm")
&amp; " - " &amp;
TEXT(TIMEVALUE(_xlfn.TEXTAFTER(EST!E36," - "))+TIME(12,0,0),"hh:mm")),"OFF")</f>
        <v>21:00 - 08:00</v>
      </c>
      <c r="G36" t="str">
        <f>IFERROR(IF(EST!F36="OFF",
IF(EST!G36="OFF","OFF",
IF(VALUE(LEFT(EST!G36,2))&lt;12,
TEXT(TIMEVALUE(_xlfn.TEXTBEFORE(EST!G36," - "))+TIME(12,0,0),"hh:mm")
&amp; " - " &amp;
TEXT(TIMEVALUE(_xlfn.TEXTAFTER(EST!G36," - "))+TIME(12,0,0),"hh:mm"),
"OFF")),
TEXT(TIMEVALUE(_xlfn.TEXTBEFORE(EST!F36," - "))+TIME(12,0,0),"hh:mm")
&amp; " - " &amp;
TEXT(TIMEVALUE(_xlfn.TEXTAFTER(EST!F36," - "))+TIME(12,0,0),"hh:mm")),"OFF")</f>
        <v>OFF</v>
      </c>
      <c r="H36" t="str">
        <f>IFERROR(IF(EST!G36="OFF",
IF(EST!H36="OFF","OFF",
IF(VALUE(LEFT(EST!H36,2))&lt;12,
TEXT(TIMEVALUE(_xlfn.TEXTBEFORE(EST!H36," - "))+TIME(12,0,0),"hh:mm")
&amp; " - " &amp;
TEXT(TIMEVALUE(_xlfn.TEXTAFTER(EST!H36," - "))+TIME(12,0,0),"hh:mm"),
"OFF")),
TEXT(TIMEVALUE(_xlfn.TEXTBEFORE(EST!G36," - "))+TIME(12,0,0),"hh:mm")
&amp; " - " &amp;
TEXT(TIMEVALUE(_xlfn.TEXTAFTER(EST!G36," - "))+TIME(12,0,0),"hh:mm")),"OFF")</f>
        <v>OFF</v>
      </c>
      <c r="I36" t="str">
        <f t="shared" si="1"/>
        <v>Sat - Sun</v>
      </c>
      <c r="J36" s="38">
        <f>MOD(EST!J36+TIME(12,0,0),1)</f>
        <v>0.95833333333333326</v>
      </c>
      <c r="K36" s="38">
        <f>MOD(EST!K36+TIME(12,0,0),1)</f>
        <v>0.17708333333333348</v>
      </c>
      <c r="L36" s="38">
        <f>MOD(EST!L36+TIME(12,0,0),1)</f>
        <v>5.2083333333333481E-2</v>
      </c>
      <c r="M36" s="38">
        <f>MOD(EST!M36+TIME(12,0,0),1)</f>
        <v>0.27083333333333348</v>
      </c>
      <c r="N36" t="str">
        <f>EST!N36</f>
        <v>Anmecha Valencia</v>
      </c>
    </row>
    <row r="37" spans="1:14" x14ac:dyDescent="0.25">
      <c r="A37" t="str">
        <f>EST!A37</f>
        <v>MARIELLE DAKILA</v>
      </c>
      <c r="B37" t="str">
        <f>IFERROR(IF(EST!H37="OFF",
IF(EST!B37="OFF","OFF",
IF(VALUE(LEFT(EST!B37,2))&lt;12,
TEXT(TIMEVALUE(_xlfn.TEXTBEFORE(EST!B37," - "))+TIME(12,0,0),"hh:mm")
&amp;" - "&amp;
TEXT(TIMEVALUE(_xlfn.TEXTAFTER(EST!B37," - "))+TIME(12,0,0),"hh:mm"),
"OFF")),
IF(VALUE(LEFT(EST!H37,2))&gt;=12,
TEXT(TIMEVALUE(_xlfn.TEXTBEFORE(EST!H37," - "))+TIME(12,0,0),"hh:mm")
&amp;" - "&amp;
TEXT(TIMEVALUE(_xlfn.TEXTAFTER(EST!H37," - "))+TIME(12,0,0),"hh:mm"),
"OFF")),"OFF")</f>
        <v>21:00 - 08:00</v>
      </c>
      <c r="C37" t="str">
        <f>IFERROR(IF(AND(EST!B37&lt;&gt;"OFF",VALUE(LEFT(EST!B37,2))&gt;=12),
TEXT(TIMEVALUE(_xlfn.TEXTBEFORE(EST!B37," - "))+TIME(12,0,0),"hh:mm")
&amp; " - " &amp;
TEXT(TIMEVALUE(_xlfn.TEXTAFTER(EST!B37," - "))+TIME(12,0,0),"hh:mm"),
IF(AND(EST!C37&lt;&gt;"OFF",VALUE(LEFT(EST!C37,2))&lt;12),
TEXT(TIMEVALUE(_xlfn.TEXTBEFORE(EST!C37," - "))+TIME(12,0,0),"hh:mm")
&amp; " - " &amp;
TEXT(TIMEVALUE(_xlfn.TEXTAFTER(EST!C37," - "))+TIME(12,0,0),"hh:mm"),
"OFF")),"OFF")</f>
        <v>21:00 - 08:00</v>
      </c>
      <c r="D37" t="str">
        <f>IFERROR(IF(AND(EST!C37&lt;&gt;"OFF",VALUE(LEFT(EST!C37,2))&gt;=12),
TEXT(TIMEVALUE(_xlfn.TEXTBEFORE(EST!C37," - "))+TIME(12,0,0),"hh:mm")
&amp; " - " &amp;
TEXT(TIMEVALUE(_xlfn.TEXTAFTER(EST!C37," - "))+TIME(12,0,0),"hh:mm"),
IF(AND(EST!D37&lt;&gt;"OFF",VALUE(LEFT(EST!D37,2))&lt;12),
TEXT(TIMEVALUE(_xlfn.TEXTBEFORE(EST!D37," - "))+TIME(12,0,0),"hh:mm")
&amp; " - " &amp;
TEXT(TIMEVALUE(_xlfn.TEXTAFTER(EST!D37," - "))+TIME(12,0,0),"hh:mm"),
"OFF")),"OFF")</f>
        <v>OFF</v>
      </c>
      <c r="E37" t="str">
        <f>IFERROR(IF(AND(EST!D37&lt;&gt;"OFF",VALUE(LEFT(EST!D37,2))&gt;=12),
TEXT(TIMEVALUE(_xlfn.TEXTBEFORE(EST!D37," - "))+TIME(12,0,0),"hh:mm")
&amp; " - " &amp;
TEXT(TIMEVALUE(_xlfn.TEXTAFTER(EST!D37," - "))+TIME(12,0,0),"hh:mm"),
IF(AND(EST!E37&lt;&gt;"OFF",VALUE(LEFT(EST!E37,2))&lt;12),
TEXT(TIMEVALUE(_xlfn.TEXTBEFORE(EST!E37," - "))+TIME(12,0,0),"hh:mm")
&amp; " - " &amp;
TEXT(TIMEVALUE(_xlfn.TEXTAFTER(EST!E37," - "))+TIME(12,0,0),"hh:mm"),
"OFF")),"OFF")</f>
        <v>OFF</v>
      </c>
      <c r="F37" t="str">
        <f>IFERROR(IF(EST!E37="OFF",
IF(EST!F37="OFF","OFF",
IF(VALUE(LEFT(EST!F37,2))&lt;12,
TEXT(TIMEVALUE(_xlfn.TEXTBEFORE(EST!F37," - "))+TIME(12,0,0),"hh:mm")
&amp; " - " &amp;
TEXT(TIMEVALUE(_xlfn.TEXTAFTER(EST!F37," - "))+TIME(12,0,0),"hh:mm"),
"OFF")),
TEXT(TIMEVALUE(_xlfn.TEXTBEFORE(EST!E37," - "))+TIME(12,0,0),"hh:mm")
&amp; " - " &amp;
TEXT(TIMEVALUE(_xlfn.TEXTAFTER(EST!E37," - "))+TIME(12,0,0),"hh:mm")),"OFF")</f>
        <v>21:00 - 08:00</v>
      </c>
      <c r="G37" t="str">
        <f>IFERROR(IF(EST!F37="OFF",
IF(EST!G37="OFF","OFF",
IF(VALUE(LEFT(EST!G37,2))&lt;12,
TEXT(TIMEVALUE(_xlfn.TEXTBEFORE(EST!G37," - "))+TIME(12,0,0),"hh:mm")
&amp; " - " &amp;
TEXT(TIMEVALUE(_xlfn.TEXTAFTER(EST!G37," - "))+TIME(12,0,0),"hh:mm"),
"OFF")),
TEXT(TIMEVALUE(_xlfn.TEXTBEFORE(EST!F37," - "))+TIME(12,0,0),"hh:mm")
&amp; " - " &amp;
TEXT(TIMEVALUE(_xlfn.TEXTAFTER(EST!F37," - "))+TIME(12,0,0),"hh:mm")),"OFF")</f>
        <v>21:00 - 08:00</v>
      </c>
      <c r="H37" t="str">
        <f>IFERROR(IF(EST!G37="OFF",
IF(EST!H37="OFF","OFF",
IF(VALUE(LEFT(EST!H37,2))&lt;12,
TEXT(TIMEVALUE(_xlfn.TEXTBEFORE(EST!H37," - "))+TIME(12,0,0),"hh:mm")
&amp; " - " &amp;
TEXT(TIMEVALUE(_xlfn.TEXTAFTER(EST!H37," - "))+TIME(12,0,0),"hh:mm"),
"OFF")),
TEXT(TIMEVALUE(_xlfn.TEXTBEFORE(EST!G37," - "))+TIME(12,0,0),"hh:mm")
&amp; " - " &amp;
TEXT(TIMEVALUE(_xlfn.TEXTAFTER(EST!G37," - "))+TIME(12,0,0),"hh:mm")),"OFF")</f>
        <v>OFF</v>
      </c>
      <c r="I37" t="str">
        <f t="shared" si="1"/>
        <v>Wed - Thu - Sun</v>
      </c>
      <c r="J37" s="38">
        <f>MOD(EST!J37+TIME(12,0,0),1)</f>
        <v>0.97916666666666674</v>
      </c>
      <c r="K37" s="38">
        <f>MOD(EST!K37+TIME(12,0,0),1)</f>
        <v>0.17708333333333348</v>
      </c>
      <c r="L37" s="38">
        <f>MOD(EST!L37+TIME(12,0,0),1)</f>
        <v>7.2916666666666519E-2</v>
      </c>
      <c r="M37" s="38">
        <f>MOD(EST!M37+TIME(12,0,0),1)</f>
        <v>0.28125</v>
      </c>
      <c r="N37" t="str">
        <f>EST!N37</f>
        <v>Remmo Panaligan</v>
      </c>
    </row>
    <row r="38" spans="1:14" x14ac:dyDescent="0.25">
      <c r="A38" t="str">
        <f>EST!A38</f>
        <v>MICHELLE CORBETA</v>
      </c>
      <c r="B38" t="str">
        <f>IFERROR(IF(EST!H38="OFF",
IF(EST!B38="OFF","OFF",
IF(VALUE(LEFT(EST!B38,2))&lt;12,
TEXT(TIMEVALUE(_xlfn.TEXTBEFORE(EST!B38," - "))+TIME(12,0,0),"hh:mm")
&amp;" - "&amp;
TEXT(TIMEVALUE(_xlfn.TEXTAFTER(EST!B38," - "))+TIME(12,0,0),"hh:mm"),
"OFF")),
IF(VALUE(LEFT(EST!H38,2))&gt;=12,
TEXT(TIMEVALUE(_xlfn.TEXTBEFORE(EST!H38," - "))+TIME(12,0,0),"hh:mm")
&amp;" - "&amp;
TEXT(TIMEVALUE(_xlfn.TEXTAFTER(EST!H38," - "))+TIME(12,0,0),"hh:mm"),
"OFF")),"OFF")</f>
        <v>OFF</v>
      </c>
      <c r="C38" t="str">
        <f>IFERROR(IF(AND(EST!B38&lt;&gt;"OFF",VALUE(LEFT(EST!B38,2))&gt;=12),
TEXT(TIMEVALUE(_xlfn.TEXTBEFORE(EST!B38," - "))+TIME(12,0,0),"hh:mm")
&amp; " - " &amp;
TEXT(TIMEVALUE(_xlfn.TEXTAFTER(EST!B38," - "))+TIME(12,0,0),"hh:mm"),
IF(AND(EST!C38&lt;&gt;"OFF",VALUE(LEFT(EST!C38,2))&lt;12),
TEXT(TIMEVALUE(_xlfn.TEXTBEFORE(EST!C38," - "))+TIME(12,0,0),"hh:mm")
&amp; " - " &amp;
TEXT(TIMEVALUE(_xlfn.TEXTAFTER(EST!C38," - "))+TIME(12,0,0),"hh:mm"),
"OFF")),"OFF")</f>
        <v>OFF</v>
      </c>
      <c r="D38" t="str">
        <f>IFERROR(IF(AND(EST!C38&lt;&gt;"OFF",VALUE(LEFT(EST!C38,2))&gt;=12),
TEXT(TIMEVALUE(_xlfn.TEXTBEFORE(EST!C38," - "))+TIME(12,0,0),"hh:mm")
&amp; " - " &amp;
TEXT(TIMEVALUE(_xlfn.TEXTAFTER(EST!C38," - "))+TIME(12,0,0),"hh:mm"),
IF(AND(EST!D38&lt;&gt;"OFF",VALUE(LEFT(EST!D38,2))&lt;12),
TEXT(TIMEVALUE(_xlfn.TEXTBEFORE(EST!D38," - "))+TIME(12,0,0),"hh:mm")
&amp; " - " &amp;
TEXT(TIMEVALUE(_xlfn.TEXTAFTER(EST!D38," - "))+TIME(12,0,0),"hh:mm"),
"OFF")),"OFF")</f>
        <v>OFF</v>
      </c>
      <c r="E38" t="str">
        <f>IFERROR(IF(AND(EST!D38&lt;&gt;"OFF",VALUE(LEFT(EST!D38,2))&gt;=12),
TEXT(TIMEVALUE(_xlfn.TEXTBEFORE(EST!D38," - "))+TIME(12,0,0),"hh:mm")
&amp; " - " &amp;
TEXT(TIMEVALUE(_xlfn.TEXTAFTER(EST!D38," - "))+TIME(12,0,0),"hh:mm"),
IF(AND(EST!E38&lt;&gt;"OFF",VALUE(LEFT(EST!E38,2))&lt;12),
TEXT(TIMEVALUE(_xlfn.TEXTBEFORE(EST!E38," - "))+TIME(12,0,0),"hh:mm")
&amp; " - " &amp;
TEXT(TIMEVALUE(_xlfn.TEXTAFTER(EST!E38," - "))+TIME(12,0,0),"hh:mm"),
"OFF")),"OFF")</f>
        <v>OFF</v>
      </c>
      <c r="F38" t="str">
        <f>IFERROR(IF(EST!E38="OFF",
IF(EST!F38="OFF","OFF",
IF(VALUE(LEFT(EST!F38,2))&lt;12,
TEXT(TIMEVALUE(_xlfn.TEXTBEFORE(EST!F38," - "))+TIME(12,0,0),"hh:mm")
&amp; " - " &amp;
TEXT(TIMEVALUE(_xlfn.TEXTAFTER(EST!F38," - "))+TIME(12,0,0),"hh:mm"),
"OFF")),
TEXT(TIMEVALUE(_xlfn.TEXTBEFORE(EST!E38," - "))+TIME(12,0,0),"hh:mm")
&amp; " - " &amp;
TEXT(TIMEVALUE(_xlfn.TEXTAFTER(EST!E38," - "))+TIME(12,0,0),"hh:mm")),"OFF")</f>
        <v>21:00 - 08:00</v>
      </c>
      <c r="G38" t="str">
        <f>IFERROR(IF(EST!F38="OFF",
IF(EST!G38="OFF","OFF",
IF(VALUE(LEFT(EST!G38,2))&lt;12,
TEXT(TIMEVALUE(_xlfn.TEXTBEFORE(EST!G38," - "))+TIME(12,0,0),"hh:mm")
&amp; " - " &amp;
TEXT(TIMEVALUE(_xlfn.TEXTAFTER(EST!G38," - "))+TIME(12,0,0),"hh:mm"),
"OFF")),
TEXT(TIMEVALUE(_xlfn.TEXTBEFORE(EST!F38," - "))+TIME(12,0,0),"hh:mm")
&amp; " - " &amp;
TEXT(TIMEVALUE(_xlfn.TEXTAFTER(EST!F38," - "))+TIME(12,0,0),"hh:mm")),"OFF")</f>
        <v>21:00 - 08:00</v>
      </c>
      <c r="H38" t="str">
        <f>IFERROR(IF(EST!G38="OFF",
IF(EST!H38="OFF","OFF",
IF(VALUE(LEFT(EST!H38,2))&lt;12,
TEXT(TIMEVALUE(_xlfn.TEXTBEFORE(EST!H38," - "))+TIME(12,0,0),"hh:mm")
&amp; " - " &amp;
TEXT(TIMEVALUE(_xlfn.TEXTAFTER(EST!H38," - "))+TIME(12,0,0),"hh:mm"),
"OFF")),
TEXT(TIMEVALUE(_xlfn.TEXTBEFORE(EST!G38," - "))+TIME(12,0,0),"hh:mm")
&amp; " - " &amp;
TEXT(TIMEVALUE(_xlfn.TEXTAFTER(EST!G38," - "))+TIME(12,0,0),"hh:mm")),"OFF")</f>
        <v>21:00 - 08:00</v>
      </c>
      <c r="I38" t="str">
        <f t="shared" si="1"/>
        <v>Mon - Tue - Wed - Thu</v>
      </c>
      <c r="J38" s="38">
        <f>MOD(EST!J38+TIME(12,0,0),1)</f>
        <v>0.96875</v>
      </c>
      <c r="K38" s="38">
        <f>MOD(EST!K38+TIME(12,0,0),1)</f>
        <v>6.25E-2</v>
      </c>
      <c r="L38" s="38">
        <f>MOD(EST!L38+TIME(12,0,0),1)</f>
        <v>0.125</v>
      </c>
      <c r="M38" s="38">
        <f>MOD(EST!M38+TIME(12,0,0),1)</f>
        <v>0.27083333333333348</v>
      </c>
      <c r="N38" t="str">
        <f>EST!N38</f>
        <v>Christopher Rodas</v>
      </c>
    </row>
    <row r="39" spans="1:14" x14ac:dyDescent="0.25">
      <c r="A39" t="str">
        <f>EST!A39</f>
        <v>PATRICIA GILAN VILLAS</v>
      </c>
      <c r="B39" t="str">
        <f>IFERROR(IF(EST!H39="OFF",
IF(EST!B39="OFF","OFF",
IF(VALUE(LEFT(EST!B39,2))&lt;12,
TEXT(TIMEVALUE(_xlfn.TEXTBEFORE(EST!B39," - "))+TIME(12,0,0),"hh:mm")
&amp;" - "&amp;
TEXT(TIMEVALUE(_xlfn.TEXTAFTER(EST!B39," - "))+TIME(12,0,0),"hh:mm"),
"OFF")),
IF(VALUE(LEFT(EST!H39,2))&gt;=12,
TEXT(TIMEVALUE(_xlfn.TEXTBEFORE(EST!H39," - "))+TIME(12,0,0),"hh:mm")
&amp;" - "&amp;
TEXT(TIMEVALUE(_xlfn.TEXTAFTER(EST!H39," - "))+TIME(12,0,0),"hh:mm"),
"OFF")),"OFF")</f>
        <v>OFF</v>
      </c>
      <c r="C39" t="str">
        <f>IFERROR(IF(AND(EST!B39&lt;&gt;"OFF",VALUE(LEFT(EST!B39,2))&gt;=12),
TEXT(TIMEVALUE(_xlfn.TEXTBEFORE(EST!B39," - "))+TIME(12,0,0),"hh:mm")
&amp; " - " &amp;
TEXT(TIMEVALUE(_xlfn.TEXTAFTER(EST!B39," - "))+TIME(12,0,0),"hh:mm"),
IF(AND(EST!C39&lt;&gt;"OFF",VALUE(LEFT(EST!C39,2))&lt;12),
TEXT(TIMEVALUE(_xlfn.TEXTBEFORE(EST!C39," - "))+TIME(12,0,0),"hh:mm")
&amp; " - " &amp;
TEXT(TIMEVALUE(_xlfn.TEXTAFTER(EST!C39," - "))+TIME(12,0,0),"hh:mm"),
"OFF")),"OFF")</f>
        <v>OFF</v>
      </c>
      <c r="D39" t="str">
        <f>IFERROR(IF(AND(EST!C39&lt;&gt;"OFF",VALUE(LEFT(EST!C39,2))&gt;=12),
TEXT(TIMEVALUE(_xlfn.TEXTBEFORE(EST!C39," - "))+TIME(12,0,0),"hh:mm")
&amp; " - " &amp;
TEXT(TIMEVALUE(_xlfn.TEXTAFTER(EST!C39," - "))+TIME(12,0,0),"hh:mm"),
IF(AND(EST!D39&lt;&gt;"OFF",VALUE(LEFT(EST!D39,2))&lt;12),
TEXT(TIMEVALUE(_xlfn.TEXTBEFORE(EST!D39," - "))+TIME(12,0,0),"hh:mm")
&amp; " - " &amp;
TEXT(TIMEVALUE(_xlfn.TEXTAFTER(EST!D39," - "))+TIME(12,0,0),"hh:mm"),
"OFF")),"OFF")</f>
        <v>OFF</v>
      </c>
      <c r="E39" t="str">
        <f>IFERROR(IF(AND(EST!D39&lt;&gt;"OFF",VALUE(LEFT(EST!D39,2))&gt;=12),
TEXT(TIMEVALUE(_xlfn.TEXTBEFORE(EST!D39," - "))+TIME(12,0,0),"hh:mm")
&amp; " - " &amp;
TEXT(TIMEVALUE(_xlfn.TEXTAFTER(EST!D39," - "))+TIME(12,0,0),"hh:mm"),
IF(AND(EST!E39&lt;&gt;"OFF",VALUE(LEFT(EST!E39,2))&lt;12),
TEXT(TIMEVALUE(_xlfn.TEXTBEFORE(EST!E39," - "))+TIME(12,0,0),"hh:mm")
&amp; " - " &amp;
TEXT(TIMEVALUE(_xlfn.TEXTAFTER(EST!E39," - "))+TIME(12,0,0),"hh:mm"),
"OFF")),"OFF")</f>
        <v>OFF</v>
      </c>
      <c r="F39" t="str">
        <f>IFERROR(IF(EST!E39="OFF",
IF(EST!F39="OFF","OFF",
IF(VALUE(LEFT(EST!F39,2))&lt;12,
TEXT(TIMEVALUE(_xlfn.TEXTBEFORE(EST!F39," - "))+TIME(12,0,0),"hh:mm")
&amp; " - " &amp;
TEXT(TIMEVALUE(_xlfn.TEXTAFTER(EST!F39," - "))+TIME(12,0,0),"hh:mm"),
"OFF")),
TEXT(TIMEVALUE(_xlfn.TEXTBEFORE(EST!E39," - "))+TIME(12,0,0),"hh:mm")
&amp; " - " &amp;
TEXT(TIMEVALUE(_xlfn.TEXTAFTER(EST!E39," - "))+TIME(12,0,0),"hh:mm")),"OFF")</f>
        <v>21:00 - 08:00</v>
      </c>
      <c r="G39" t="str">
        <f>IFERROR(IF(EST!F39="OFF",
IF(EST!G39="OFF","OFF",
IF(VALUE(LEFT(EST!G39,2))&lt;12,
TEXT(TIMEVALUE(_xlfn.TEXTBEFORE(EST!G39," - "))+TIME(12,0,0),"hh:mm")
&amp; " - " &amp;
TEXT(TIMEVALUE(_xlfn.TEXTAFTER(EST!G39," - "))+TIME(12,0,0),"hh:mm"),
"OFF")),
TEXT(TIMEVALUE(_xlfn.TEXTBEFORE(EST!F39," - "))+TIME(12,0,0),"hh:mm")
&amp; " - " &amp;
TEXT(TIMEVALUE(_xlfn.TEXTAFTER(EST!F39," - "))+TIME(12,0,0),"hh:mm")),"OFF")</f>
        <v>21:00 - 08:00</v>
      </c>
      <c r="H39" t="str">
        <f>IFERROR(IF(EST!G39="OFF",
IF(EST!H39="OFF","OFF",
IF(VALUE(LEFT(EST!H39,2))&lt;12,
TEXT(TIMEVALUE(_xlfn.TEXTBEFORE(EST!H39," - "))+TIME(12,0,0),"hh:mm")
&amp; " - " &amp;
TEXT(TIMEVALUE(_xlfn.TEXTAFTER(EST!H39," - "))+TIME(12,0,0),"hh:mm"),
"OFF")),
TEXT(TIMEVALUE(_xlfn.TEXTBEFORE(EST!G39," - "))+TIME(12,0,0),"hh:mm")
&amp; " - " &amp;
TEXT(TIMEVALUE(_xlfn.TEXTAFTER(EST!G39," - "))+TIME(12,0,0),"hh:mm")),"OFF")</f>
        <v>21:00 - 08:00</v>
      </c>
      <c r="I39" t="str">
        <f t="shared" si="1"/>
        <v>Mon - Tue - Wed - Thu</v>
      </c>
      <c r="J39" s="38">
        <f>MOD(EST!J39+TIME(12,0,0),1)</f>
        <v>0.94791666666666674</v>
      </c>
      <c r="K39" s="38">
        <f>MOD(EST!K39+TIME(12,0,0),1)</f>
        <v>0.15625</v>
      </c>
      <c r="L39" s="38">
        <f>MOD(EST!L39+TIME(12,0,0),1)</f>
        <v>2.0833333333333481E-2</v>
      </c>
      <c r="M39" s="38">
        <f>MOD(EST!M39+TIME(12,0,0),1)</f>
        <v>0.26041666666666652</v>
      </c>
      <c r="N39" t="str">
        <f>EST!N39</f>
        <v>Anmecha Valencia</v>
      </c>
    </row>
    <row r="40" spans="1:14" x14ac:dyDescent="0.25">
      <c r="A40" t="str">
        <f>EST!A40</f>
        <v>SAMANTHA YVONNE DELA COSTA</v>
      </c>
      <c r="B40" t="str">
        <f>IFERROR(IF(EST!H40="OFF",
IF(EST!B40="OFF","OFF",
IF(VALUE(LEFT(EST!B40,2))&lt;12,
TEXT(TIMEVALUE(_xlfn.TEXTBEFORE(EST!B40," - "))+TIME(12,0,0),"hh:mm")
&amp;" - "&amp;
TEXT(TIMEVALUE(_xlfn.TEXTAFTER(EST!B40," - "))+TIME(12,0,0),"hh:mm"),
"OFF")),
IF(VALUE(LEFT(EST!H40,2))&gt;=12,
TEXT(TIMEVALUE(_xlfn.TEXTBEFORE(EST!H40," - "))+TIME(12,0,0),"hh:mm")
&amp;" - "&amp;
TEXT(TIMEVALUE(_xlfn.TEXTAFTER(EST!H40," - "))+TIME(12,0,0),"hh:mm"),
"OFF")),"OFF")</f>
        <v>21:00 - 08:00</v>
      </c>
      <c r="C40" t="str">
        <f>IFERROR(IF(AND(EST!B40&lt;&gt;"OFF",VALUE(LEFT(EST!B40,2))&gt;=12),
TEXT(TIMEVALUE(_xlfn.TEXTBEFORE(EST!B40," - "))+TIME(12,0,0),"hh:mm")
&amp; " - " &amp;
TEXT(TIMEVALUE(_xlfn.TEXTAFTER(EST!B40," - "))+TIME(12,0,0),"hh:mm"),
IF(AND(EST!C40&lt;&gt;"OFF",VALUE(LEFT(EST!C40,2))&lt;12),
TEXT(TIMEVALUE(_xlfn.TEXTBEFORE(EST!C40," - "))+TIME(12,0,0),"hh:mm")
&amp; " - " &amp;
TEXT(TIMEVALUE(_xlfn.TEXTAFTER(EST!C40," - "))+TIME(12,0,0),"hh:mm"),
"OFF")),"OFF")</f>
        <v>21:00 - 08:00</v>
      </c>
      <c r="D40" t="str">
        <f>IFERROR(IF(AND(EST!C40&lt;&gt;"OFF",VALUE(LEFT(EST!C40,2))&gt;=12),
TEXT(TIMEVALUE(_xlfn.TEXTBEFORE(EST!C40," - "))+TIME(12,0,0),"hh:mm")
&amp; " - " &amp;
TEXT(TIMEVALUE(_xlfn.TEXTAFTER(EST!C40," - "))+TIME(12,0,0),"hh:mm"),
IF(AND(EST!D40&lt;&gt;"OFF",VALUE(LEFT(EST!D40,2))&lt;12),
TEXT(TIMEVALUE(_xlfn.TEXTBEFORE(EST!D40," - "))+TIME(12,0,0),"hh:mm")
&amp; " - " &amp;
TEXT(TIMEVALUE(_xlfn.TEXTAFTER(EST!D40," - "))+TIME(12,0,0),"hh:mm"),
"OFF")),"OFF")</f>
        <v>21:00 - 08:00</v>
      </c>
      <c r="E40" t="str">
        <f>IFERROR(IF(AND(EST!D40&lt;&gt;"OFF",VALUE(LEFT(EST!D40,2))&gt;=12),
TEXT(TIMEVALUE(_xlfn.TEXTBEFORE(EST!D40," - "))+TIME(12,0,0),"hh:mm")
&amp; " - " &amp;
TEXT(TIMEVALUE(_xlfn.TEXTAFTER(EST!D40," - "))+TIME(12,0,0),"hh:mm"),
IF(AND(EST!E40&lt;&gt;"OFF",VALUE(LEFT(EST!E40,2))&lt;12),
TEXT(TIMEVALUE(_xlfn.TEXTBEFORE(EST!E40," - "))+TIME(12,0,0),"hh:mm")
&amp; " - " &amp;
TEXT(TIMEVALUE(_xlfn.TEXTAFTER(EST!E40," - "))+TIME(12,0,0),"hh:mm"),
"OFF")),"OFF")</f>
        <v>OFF</v>
      </c>
      <c r="F40" t="str">
        <f>IFERROR(IF(EST!E40="OFF",
IF(EST!F40="OFF","OFF",
IF(VALUE(LEFT(EST!F40,2))&lt;12,
TEXT(TIMEVALUE(_xlfn.TEXTBEFORE(EST!F40," - "))+TIME(12,0,0),"hh:mm")
&amp; " - " &amp;
TEXT(TIMEVALUE(_xlfn.TEXTAFTER(EST!F40," - "))+TIME(12,0,0),"hh:mm"),
"OFF")),
TEXT(TIMEVALUE(_xlfn.TEXTBEFORE(EST!E40," - "))+TIME(12,0,0),"hh:mm")
&amp; " - " &amp;
TEXT(TIMEVALUE(_xlfn.TEXTAFTER(EST!E40," - "))+TIME(12,0,0),"hh:mm")),"OFF")</f>
        <v>21:00 - 08:00</v>
      </c>
      <c r="G40" t="str">
        <f>IFERROR(IF(EST!F40="OFF",
IF(EST!G40="OFF","OFF",
IF(VALUE(LEFT(EST!G40,2))&lt;12,
TEXT(TIMEVALUE(_xlfn.TEXTBEFORE(EST!G40," - "))+TIME(12,0,0),"hh:mm")
&amp; " - " &amp;
TEXT(TIMEVALUE(_xlfn.TEXTAFTER(EST!G40," - "))+TIME(12,0,0),"hh:mm"),
"OFF")),
TEXT(TIMEVALUE(_xlfn.TEXTBEFORE(EST!F40," - "))+TIME(12,0,0),"hh:mm")
&amp; " - " &amp;
TEXT(TIMEVALUE(_xlfn.TEXTAFTER(EST!F40," - "))+TIME(12,0,0),"hh:mm")),"OFF")</f>
        <v>21:00 - 08:00</v>
      </c>
      <c r="H40" t="str">
        <f>IFERROR(IF(EST!G40="OFF",
IF(EST!H40="OFF","OFF",
IF(VALUE(LEFT(EST!H40,2))&lt;12,
TEXT(TIMEVALUE(_xlfn.TEXTBEFORE(EST!H40," - "))+TIME(12,0,0),"hh:mm")
&amp; " - " &amp;
TEXT(TIMEVALUE(_xlfn.TEXTAFTER(EST!H40," - "))+TIME(12,0,0),"hh:mm"),
"OFF")),
TEXT(TIMEVALUE(_xlfn.TEXTBEFORE(EST!G40," - "))+TIME(12,0,0),"hh:mm")
&amp; " - " &amp;
TEXT(TIMEVALUE(_xlfn.TEXTAFTER(EST!G40," - "))+TIME(12,0,0),"hh:mm")),"OFF")</f>
        <v>OFF</v>
      </c>
      <c r="I40" t="str">
        <f t="shared" si="1"/>
        <v>Thu - Sun</v>
      </c>
      <c r="J40" s="38">
        <f>MOD(EST!J40+TIME(12,0,0),1)</f>
        <v>0.98958333333333326</v>
      </c>
      <c r="K40" s="38">
        <f>MOD(EST!K40+TIME(12,0,0),1)</f>
        <v>0.22916666666666652</v>
      </c>
      <c r="L40" s="38">
        <f>MOD(EST!L40+TIME(12,0,0),1)</f>
        <v>0.10416666666666652</v>
      </c>
      <c r="M40" s="38">
        <f>MOD(EST!M40+TIME(12,0,0),1)</f>
        <v>0.3125</v>
      </c>
      <c r="N40" t="str">
        <f>EST!N40</f>
        <v>Anmecha Valencia</v>
      </c>
    </row>
    <row r="41" spans="1:14" x14ac:dyDescent="0.25">
      <c r="A41" t="str">
        <f>EST!A41</f>
        <v>ANDREI MARK LLENOS</v>
      </c>
      <c r="B41" t="str">
        <f>IFERROR(IF(EST!H41="OFF",
IF(EST!B41="OFF","OFF",
IF(VALUE(LEFT(EST!B41,2))&lt;12,
TEXT(TIMEVALUE(_xlfn.TEXTBEFORE(EST!B41," - "))+TIME(12,0,0),"hh:mm")
&amp;" - "&amp;
TEXT(TIMEVALUE(_xlfn.TEXTAFTER(EST!B41," - "))+TIME(12,0,0),"hh:mm"),
"OFF")),
IF(VALUE(LEFT(EST!H41,2))&gt;=12,
TEXT(TIMEVALUE(_xlfn.TEXTBEFORE(EST!H41," - "))+TIME(12,0,0),"hh:mm")
&amp;" - "&amp;
TEXT(TIMEVALUE(_xlfn.TEXTAFTER(EST!H41," - "))+TIME(12,0,0),"hh:mm"),
"OFF")),"OFF")</f>
        <v>20:00 - 07:00</v>
      </c>
      <c r="C41" t="str">
        <f>IFERROR(IF(AND(EST!B41&lt;&gt;"OFF",VALUE(LEFT(EST!B41,2))&gt;=12),
TEXT(TIMEVALUE(_xlfn.TEXTBEFORE(EST!B41," - "))+TIME(12,0,0),"hh:mm")
&amp; " - " &amp;
TEXT(TIMEVALUE(_xlfn.TEXTAFTER(EST!B41," - "))+TIME(12,0,0),"hh:mm"),
IF(AND(EST!C41&lt;&gt;"OFF",VALUE(LEFT(EST!C41,2))&lt;12),
TEXT(TIMEVALUE(_xlfn.TEXTBEFORE(EST!C41," - "))+TIME(12,0,0),"hh:mm")
&amp; " - " &amp;
TEXT(TIMEVALUE(_xlfn.TEXTAFTER(EST!C41," - "))+TIME(12,0,0),"hh:mm"),
"OFF")),"OFF")</f>
        <v>20:00 - 07:00</v>
      </c>
      <c r="D41" t="str">
        <f>IFERROR(IF(AND(EST!C41&lt;&gt;"OFF",VALUE(LEFT(EST!C41,2))&gt;=12),
TEXT(TIMEVALUE(_xlfn.TEXTBEFORE(EST!C41," - "))+TIME(12,0,0),"hh:mm")
&amp; " - " &amp;
TEXT(TIMEVALUE(_xlfn.TEXTAFTER(EST!C41," - "))+TIME(12,0,0),"hh:mm"),
IF(AND(EST!D41&lt;&gt;"OFF",VALUE(LEFT(EST!D41,2))&lt;12),
TEXT(TIMEVALUE(_xlfn.TEXTBEFORE(EST!D41," - "))+TIME(12,0,0),"hh:mm")
&amp; " - " &amp;
TEXT(TIMEVALUE(_xlfn.TEXTAFTER(EST!D41," - "))+TIME(12,0,0),"hh:mm"),
"OFF")),"OFF")</f>
        <v>20:00 - 07:00</v>
      </c>
      <c r="E41" t="str">
        <f>IFERROR(IF(AND(EST!D41&lt;&gt;"OFF",VALUE(LEFT(EST!D41,2))&gt;=12),
TEXT(TIMEVALUE(_xlfn.TEXTBEFORE(EST!D41," - "))+TIME(12,0,0),"hh:mm")
&amp; " - " &amp;
TEXT(TIMEVALUE(_xlfn.TEXTAFTER(EST!D41," - "))+TIME(12,0,0),"hh:mm"),
IF(AND(EST!E41&lt;&gt;"OFF",VALUE(LEFT(EST!E41,2))&lt;12),
TEXT(TIMEVALUE(_xlfn.TEXTBEFORE(EST!E41," - "))+TIME(12,0,0),"hh:mm")
&amp; " - " &amp;
TEXT(TIMEVALUE(_xlfn.TEXTAFTER(EST!E41," - "))+TIME(12,0,0),"hh:mm"),
"OFF")),"OFF")</f>
        <v>OFF</v>
      </c>
      <c r="F41" t="str">
        <f>IFERROR(IF(EST!E41="OFF",
IF(EST!F41="OFF","OFF",
IF(VALUE(LEFT(EST!F41,2))&lt;12,
TEXT(TIMEVALUE(_xlfn.TEXTBEFORE(EST!F41," - "))+TIME(12,0,0),"hh:mm")
&amp; " - " &amp;
TEXT(TIMEVALUE(_xlfn.TEXTAFTER(EST!F41," - "))+TIME(12,0,0),"hh:mm"),
"OFF")),
TEXT(TIMEVALUE(_xlfn.TEXTBEFORE(EST!E41," - "))+TIME(12,0,0),"hh:mm")
&amp; " - " &amp;
TEXT(TIMEVALUE(_xlfn.TEXTAFTER(EST!E41," - "))+TIME(12,0,0),"hh:mm")),"OFF")</f>
        <v>20:00 - 07:00</v>
      </c>
      <c r="G41" t="str">
        <f>IFERROR(IF(EST!F41="OFF",
IF(EST!G41="OFF","OFF",
IF(VALUE(LEFT(EST!G41,2))&lt;12,
TEXT(TIMEVALUE(_xlfn.TEXTBEFORE(EST!G41," - "))+TIME(12,0,0),"hh:mm")
&amp; " - " &amp;
TEXT(TIMEVALUE(_xlfn.TEXTAFTER(EST!G41," - "))+TIME(12,0,0),"hh:mm"),
"OFF")),
TEXT(TIMEVALUE(_xlfn.TEXTBEFORE(EST!F41," - "))+TIME(12,0,0),"hh:mm")
&amp; " - " &amp;
TEXT(TIMEVALUE(_xlfn.TEXTAFTER(EST!F41," - "))+TIME(12,0,0),"hh:mm")),"OFF")</f>
        <v>20:00 - 07:00</v>
      </c>
      <c r="H41" t="str">
        <f>IFERROR(IF(EST!G41="OFF",
IF(EST!H41="OFF","OFF",
IF(VALUE(LEFT(EST!H41,2))&lt;12,
TEXT(TIMEVALUE(_xlfn.TEXTBEFORE(EST!H41," - "))+TIME(12,0,0),"hh:mm")
&amp; " - " &amp;
TEXT(TIMEVALUE(_xlfn.TEXTAFTER(EST!H41," - "))+TIME(12,0,0),"hh:mm"),
"OFF")),
TEXT(TIMEVALUE(_xlfn.TEXTBEFORE(EST!G41," - "))+TIME(12,0,0),"hh:mm")
&amp; " - " &amp;
TEXT(TIMEVALUE(_xlfn.TEXTAFTER(EST!G41," - "))+TIME(12,0,0),"hh:mm")),"OFF")</f>
        <v>OFF</v>
      </c>
      <c r="I41" t="str">
        <f t="shared" si="1"/>
        <v>Thu - Sun</v>
      </c>
      <c r="J41" s="38">
        <f>MOD(EST!J41+TIME(12,0,0),1)</f>
        <v>0.89583333333333326</v>
      </c>
      <c r="K41" s="38">
        <f>MOD(EST!K41+TIME(12,0,0),1)</f>
        <v>0.10416666666666652</v>
      </c>
      <c r="L41" s="38">
        <f>MOD(EST!L41+TIME(12,0,0),1)</f>
        <v>0.97916666666666674</v>
      </c>
      <c r="M41" s="38">
        <f>MOD(EST!M41+TIME(12,0,0),1)</f>
        <v>0.23958333333333348</v>
      </c>
      <c r="N41" t="str">
        <f>EST!N41</f>
        <v>Manilyn Abellar</v>
      </c>
    </row>
    <row r="42" spans="1:14" x14ac:dyDescent="0.25">
      <c r="A42" t="str">
        <f>EST!A42</f>
        <v>DAIRENN ANGEL ADARNE</v>
      </c>
      <c r="B42" t="str">
        <f>IFERROR(IF(EST!H42="OFF",
IF(EST!B42="OFF","OFF",
IF(VALUE(LEFT(EST!B42,2))&lt;12,
TEXT(TIMEVALUE(_xlfn.TEXTBEFORE(EST!B42," - "))+TIME(12,0,0),"hh:mm")
&amp;" - "&amp;
TEXT(TIMEVALUE(_xlfn.TEXTAFTER(EST!B42," - "))+TIME(12,0,0),"hh:mm"),
"OFF")),
IF(VALUE(LEFT(EST!H42,2))&gt;=12,
TEXT(TIMEVALUE(_xlfn.TEXTBEFORE(EST!H42," - "))+TIME(12,0,0),"hh:mm")
&amp;" - "&amp;
TEXT(TIMEVALUE(_xlfn.TEXTAFTER(EST!H42," - "))+TIME(12,0,0),"hh:mm"),
"OFF")),"OFF")</f>
        <v>OFF</v>
      </c>
      <c r="C42" t="str">
        <f>IFERROR(IF(AND(EST!B42&lt;&gt;"OFF",VALUE(LEFT(EST!B42,2))&gt;=12),
TEXT(TIMEVALUE(_xlfn.TEXTBEFORE(EST!B42," - "))+TIME(12,0,0),"hh:mm")
&amp; " - " &amp;
TEXT(TIMEVALUE(_xlfn.TEXTAFTER(EST!B42," - "))+TIME(12,0,0),"hh:mm"),
IF(AND(EST!C42&lt;&gt;"OFF",VALUE(LEFT(EST!C42,2))&lt;12),
TEXT(TIMEVALUE(_xlfn.TEXTBEFORE(EST!C42," - "))+TIME(12,0,0),"hh:mm")
&amp; " - " &amp;
TEXT(TIMEVALUE(_xlfn.TEXTAFTER(EST!C42," - "))+TIME(12,0,0),"hh:mm"),
"OFF")),"OFF")</f>
        <v>OFF</v>
      </c>
      <c r="D42" t="str">
        <f>IFERROR(IF(AND(EST!C42&lt;&gt;"OFF",VALUE(LEFT(EST!C42,2))&gt;=12),
TEXT(TIMEVALUE(_xlfn.TEXTBEFORE(EST!C42," - "))+TIME(12,0,0),"hh:mm")
&amp; " - " &amp;
TEXT(TIMEVALUE(_xlfn.TEXTAFTER(EST!C42," - "))+TIME(12,0,0),"hh:mm"),
IF(AND(EST!D42&lt;&gt;"OFF",VALUE(LEFT(EST!D42,2))&lt;12),
TEXT(TIMEVALUE(_xlfn.TEXTBEFORE(EST!D42," - "))+TIME(12,0,0),"hh:mm")
&amp; " - " &amp;
TEXT(TIMEVALUE(_xlfn.TEXTAFTER(EST!D42," - "))+TIME(12,0,0),"hh:mm"),
"OFF")),"OFF")</f>
        <v>OFF</v>
      </c>
      <c r="E42" t="str">
        <f>IFERROR(IF(AND(EST!D42&lt;&gt;"OFF",VALUE(LEFT(EST!D42,2))&gt;=12),
TEXT(TIMEVALUE(_xlfn.TEXTBEFORE(EST!D42," - "))+TIME(12,0,0),"hh:mm")
&amp; " - " &amp;
TEXT(TIMEVALUE(_xlfn.TEXTAFTER(EST!D42," - "))+TIME(12,0,0),"hh:mm"),
IF(AND(EST!E42&lt;&gt;"OFF",VALUE(LEFT(EST!E42,2))&lt;12),
TEXT(TIMEVALUE(_xlfn.TEXTBEFORE(EST!E42," - "))+TIME(12,0,0),"hh:mm")
&amp; " - " &amp;
TEXT(TIMEVALUE(_xlfn.TEXTAFTER(EST!E42," - "))+TIME(12,0,0),"hh:mm"),
"OFF")),"OFF")</f>
        <v>OFF</v>
      </c>
      <c r="F42" t="str">
        <f>IFERROR(IF(EST!E42="OFF",
IF(EST!F42="OFF","OFF",
IF(VALUE(LEFT(EST!F42,2))&lt;12,
TEXT(TIMEVALUE(_xlfn.TEXTBEFORE(EST!F42," - "))+TIME(12,0,0),"hh:mm")
&amp; " - " &amp;
TEXT(TIMEVALUE(_xlfn.TEXTAFTER(EST!F42," - "))+TIME(12,0,0),"hh:mm"),
"OFF")),
TEXT(TIMEVALUE(_xlfn.TEXTBEFORE(EST!E42," - "))+TIME(12,0,0),"hh:mm")
&amp; " - " &amp;
TEXT(TIMEVALUE(_xlfn.TEXTAFTER(EST!E42," - "))+TIME(12,0,0),"hh:mm")),"OFF")</f>
        <v>20:00 - 07:00</v>
      </c>
      <c r="G42" t="str">
        <f>IFERROR(IF(EST!F42="OFF",
IF(EST!G42="OFF","OFF",
IF(VALUE(LEFT(EST!G42,2))&lt;12,
TEXT(TIMEVALUE(_xlfn.TEXTBEFORE(EST!G42," - "))+TIME(12,0,0),"hh:mm")
&amp; " - " &amp;
TEXT(TIMEVALUE(_xlfn.TEXTAFTER(EST!G42," - "))+TIME(12,0,0),"hh:mm"),
"OFF")),
TEXT(TIMEVALUE(_xlfn.TEXTBEFORE(EST!F42," - "))+TIME(12,0,0),"hh:mm")
&amp; " - " &amp;
TEXT(TIMEVALUE(_xlfn.TEXTAFTER(EST!F42," - "))+TIME(12,0,0),"hh:mm")),"OFF")</f>
        <v>20:00 - 07:00</v>
      </c>
      <c r="H42" t="str">
        <f>IFERROR(IF(EST!G42="OFF",
IF(EST!H42="OFF","OFF",
IF(VALUE(LEFT(EST!H42,2))&lt;12,
TEXT(TIMEVALUE(_xlfn.TEXTBEFORE(EST!H42," - "))+TIME(12,0,0),"hh:mm")
&amp; " - " &amp;
TEXT(TIMEVALUE(_xlfn.TEXTAFTER(EST!H42," - "))+TIME(12,0,0),"hh:mm"),
"OFF")),
TEXT(TIMEVALUE(_xlfn.TEXTBEFORE(EST!G42," - "))+TIME(12,0,0),"hh:mm")
&amp; " - " &amp;
TEXT(TIMEVALUE(_xlfn.TEXTAFTER(EST!G42," - "))+TIME(12,0,0),"hh:mm")),"OFF")</f>
        <v>20:00 - 07:00</v>
      </c>
      <c r="I42" t="str">
        <f t="shared" si="1"/>
        <v>Mon - Tue - Wed - Thu</v>
      </c>
      <c r="J42" s="38">
        <f>MOD(EST!J42+TIME(12,0,0),1)</f>
        <v>0.9375</v>
      </c>
      <c r="K42" s="38">
        <f>MOD(EST!K42+TIME(12,0,0),1)</f>
        <v>0.14583333333333348</v>
      </c>
      <c r="L42" s="38">
        <f>MOD(EST!L42+TIME(12,0,0),1)</f>
        <v>2.0833333333333481E-2</v>
      </c>
      <c r="M42" s="38">
        <f>MOD(EST!M42+TIME(12,0,0),1)</f>
        <v>0.25</v>
      </c>
      <c r="N42" t="str">
        <f>EST!N42</f>
        <v>Manilyn Abellar</v>
      </c>
    </row>
    <row r="43" spans="1:14" x14ac:dyDescent="0.25">
      <c r="A43" t="str">
        <f>EST!A43</f>
        <v>ELJOHN MAR CABALIDA</v>
      </c>
      <c r="B43" t="str">
        <f>IFERROR(IF(EST!H43="OFF",
IF(EST!B43="OFF","OFF",
IF(VALUE(LEFT(EST!B43,2))&lt;12,
TEXT(TIMEVALUE(_xlfn.TEXTBEFORE(EST!B43," - "))+TIME(12,0,0),"hh:mm")
&amp;" - "&amp;
TEXT(TIMEVALUE(_xlfn.TEXTAFTER(EST!B43," - "))+TIME(12,0,0),"hh:mm"),
"OFF")),
IF(VALUE(LEFT(EST!H43,2))&gt;=12,
TEXT(TIMEVALUE(_xlfn.TEXTBEFORE(EST!H43," - "))+TIME(12,0,0),"hh:mm")
&amp;" - "&amp;
TEXT(TIMEVALUE(_xlfn.TEXTAFTER(EST!H43," - "))+TIME(12,0,0),"hh:mm"),
"OFF")),"OFF")</f>
        <v>20:00 - 07:00</v>
      </c>
      <c r="C43" t="str">
        <f>IFERROR(IF(AND(EST!B43&lt;&gt;"OFF",VALUE(LEFT(EST!B43,2))&gt;=12),
TEXT(TIMEVALUE(_xlfn.TEXTBEFORE(EST!B43," - "))+TIME(12,0,0),"hh:mm")
&amp; " - " &amp;
TEXT(TIMEVALUE(_xlfn.TEXTAFTER(EST!B43," - "))+TIME(12,0,0),"hh:mm"),
IF(AND(EST!C43&lt;&gt;"OFF",VALUE(LEFT(EST!C43,2))&lt;12),
TEXT(TIMEVALUE(_xlfn.TEXTBEFORE(EST!C43," - "))+TIME(12,0,0),"hh:mm")
&amp; " - " &amp;
TEXT(TIMEVALUE(_xlfn.TEXTAFTER(EST!C43," - "))+TIME(12,0,0),"hh:mm"),
"OFF")),"OFF")</f>
        <v>20:00 - 07:00</v>
      </c>
      <c r="D43" t="str">
        <f>IFERROR(IF(AND(EST!C43&lt;&gt;"OFF",VALUE(LEFT(EST!C43,2))&gt;=12),
TEXT(TIMEVALUE(_xlfn.TEXTBEFORE(EST!C43," - "))+TIME(12,0,0),"hh:mm")
&amp; " - " &amp;
TEXT(TIMEVALUE(_xlfn.TEXTAFTER(EST!C43," - "))+TIME(12,0,0),"hh:mm"),
IF(AND(EST!D43&lt;&gt;"OFF",VALUE(LEFT(EST!D43,2))&lt;12),
TEXT(TIMEVALUE(_xlfn.TEXTBEFORE(EST!D43," - "))+TIME(12,0,0),"hh:mm")
&amp; " - " &amp;
TEXT(TIMEVALUE(_xlfn.TEXTAFTER(EST!D43," - "))+TIME(12,0,0),"hh:mm"),
"OFF")),"OFF")</f>
        <v>OFF</v>
      </c>
      <c r="E43" t="str">
        <f>IFERROR(IF(AND(EST!D43&lt;&gt;"OFF",VALUE(LEFT(EST!D43,2))&gt;=12),
TEXT(TIMEVALUE(_xlfn.TEXTBEFORE(EST!D43," - "))+TIME(12,0,0),"hh:mm")
&amp; " - " &amp;
TEXT(TIMEVALUE(_xlfn.TEXTAFTER(EST!D43," - "))+TIME(12,0,0),"hh:mm"),
IF(AND(EST!E43&lt;&gt;"OFF",VALUE(LEFT(EST!E43,2))&lt;12),
TEXT(TIMEVALUE(_xlfn.TEXTBEFORE(EST!E43," - "))+TIME(12,0,0),"hh:mm")
&amp; " - " &amp;
TEXT(TIMEVALUE(_xlfn.TEXTAFTER(EST!E43," - "))+TIME(12,0,0),"hh:mm"),
"OFF")),"OFF")</f>
        <v>OFF</v>
      </c>
      <c r="F43" t="str">
        <f>IFERROR(IF(EST!E43="OFF",
IF(EST!F43="OFF","OFF",
IF(VALUE(LEFT(EST!F43,2))&lt;12,
TEXT(TIMEVALUE(_xlfn.TEXTBEFORE(EST!F43," - "))+TIME(12,0,0),"hh:mm")
&amp; " - " &amp;
TEXT(TIMEVALUE(_xlfn.TEXTAFTER(EST!F43," - "))+TIME(12,0,0),"hh:mm"),
"OFF")),
TEXT(TIMEVALUE(_xlfn.TEXTBEFORE(EST!E43," - "))+TIME(12,0,0),"hh:mm")
&amp; " - " &amp;
TEXT(TIMEVALUE(_xlfn.TEXTAFTER(EST!E43," - "))+TIME(12,0,0),"hh:mm")),"OFF")</f>
        <v>20:00 - 07:00</v>
      </c>
      <c r="G43" t="str">
        <f>IFERROR(IF(EST!F43="OFF",
IF(EST!G43="OFF","OFF",
IF(VALUE(LEFT(EST!G43,2))&lt;12,
TEXT(TIMEVALUE(_xlfn.TEXTBEFORE(EST!G43," - "))+TIME(12,0,0),"hh:mm")
&amp; " - " &amp;
TEXT(TIMEVALUE(_xlfn.TEXTAFTER(EST!G43," - "))+TIME(12,0,0),"hh:mm"),
"OFF")),
TEXT(TIMEVALUE(_xlfn.TEXTBEFORE(EST!F43," - "))+TIME(12,0,0),"hh:mm")
&amp; " - " &amp;
TEXT(TIMEVALUE(_xlfn.TEXTAFTER(EST!F43," - "))+TIME(12,0,0),"hh:mm")),"OFF")</f>
        <v>20:00 - 07:00</v>
      </c>
      <c r="H43" t="str">
        <f>IFERROR(IF(EST!G43="OFF",
IF(EST!H43="OFF","OFF",
IF(VALUE(LEFT(EST!H43,2))&lt;12,
TEXT(TIMEVALUE(_xlfn.TEXTBEFORE(EST!H43," - "))+TIME(12,0,0),"hh:mm")
&amp; " - " &amp;
TEXT(TIMEVALUE(_xlfn.TEXTAFTER(EST!H43," - "))+TIME(12,0,0),"hh:mm"),
"OFF")),
TEXT(TIMEVALUE(_xlfn.TEXTBEFORE(EST!G43," - "))+TIME(12,0,0),"hh:mm")
&amp; " - " &amp;
TEXT(TIMEVALUE(_xlfn.TEXTAFTER(EST!G43," - "))+TIME(12,0,0),"hh:mm")),"OFF")</f>
        <v>OFF</v>
      </c>
      <c r="I43" t="str">
        <f t="shared" si="1"/>
        <v>Wed - Thu - Sun</v>
      </c>
      <c r="J43" s="38">
        <f>MOD(EST!J43+TIME(12,0,0),1)</f>
        <v>0.9375</v>
      </c>
      <c r="K43" s="38">
        <f>MOD(EST!K43+TIME(12,0,0),1)</f>
        <v>0.15625</v>
      </c>
      <c r="L43" s="38">
        <f>MOD(EST!L43+TIME(12,0,0),1)</f>
        <v>3.125E-2</v>
      </c>
      <c r="M43" s="38">
        <f>MOD(EST!M43+TIME(12,0,0),1)</f>
        <v>0.25</v>
      </c>
      <c r="N43" t="str">
        <f>EST!N43</f>
        <v>Michael Dominguez</v>
      </c>
    </row>
    <row r="44" spans="1:14" x14ac:dyDescent="0.25">
      <c r="A44" t="str">
        <f>EST!A44</f>
        <v>JAMES MATTHEW SANTOS</v>
      </c>
      <c r="B44" t="str">
        <f>IFERROR(IF(EST!H44="OFF",
IF(EST!B44="OFF","OFF",
IF(VALUE(LEFT(EST!B44,2))&lt;12,
TEXT(TIMEVALUE(_xlfn.TEXTBEFORE(EST!B44," - "))+TIME(12,0,0),"hh:mm")
&amp;" - "&amp;
TEXT(TIMEVALUE(_xlfn.TEXTAFTER(EST!B44," - "))+TIME(12,0,0),"hh:mm"),
"OFF")),
IF(VALUE(LEFT(EST!H44,2))&gt;=12,
TEXT(TIMEVALUE(_xlfn.TEXTBEFORE(EST!H44," - "))+TIME(12,0,0),"hh:mm")
&amp;" - "&amp;
TEXT(TIMEVALUE(_xlfn.TEXTAFTER(EST!H44," - "))+TIME(12,0,0),"hh:mm"),
"OFF")),"OFF")</f>
        <v>20:00 - 07:00</v>
      </c>
      <c r="C44" t="str">
        <f>IFERROR(IF(AND(EST!B44&lt;&gt;"OFF",VALUE(LEFT(EST!B44,2))&gt;=12),
TEXT(TIMEVALUE(_xlfn.TEXTBEFORE(EST!B44," - "))+TIME(12,0,0),"hh:mm")
&amp; " - " &amp;
TEXT(TIMEVALUE(_xlfn.TEXTAFTER(EST!B44," - "))+TIME(12,0,0),"hh:mm"),
IF(AND(EST!C44&lt;&gt;"OFF",VALUE(LEFT(EST!C44,2))&lt;12),
TEXT(TIMEVALUE(_xlfn.TEXTBEFORE(EST!C44," - "))+TIME(12,0,0),"hh:mm")
&amp; " - " &amp;
TEXT(TIMEVALUE(_xlfn.TEXTAFTER(EST!C44," - "))+TIME(12,0,0),"hh:mm"),
"OFF")),"OFF")</f>
        <v>20:00 - 07:00</v>
      </c>
      <c r="D44" t="str">
        <f>IFERROR(IF(AND(EST!C44&lt;&gt;"OFF",VALUE(LEFT(EST!C44,2))&gt;=12),
TEXT(TIMEVALUE(_xlfn.TEXTBEFORE(EST!C44," - "))+TIME(12,0,0),"hh:mm")
&amp; " - " &amp;
TEXT(TIMEVALUE(_xlfn.TEXTAFTER(EST!C44," - "))+TIME(12,0,0),"hh:mm"),
IF(AND(EST!D44&lt;&gt;"OFF",VALUE(LEFT(EST!D44,2))&lt;12),
TEXT(TIMEVALUE(_xlfn.TEXTBEFORE(EST!D44," - "))+TIME(12,0,0),"hh:mm")
&amp; " - " &amp;
TEXT(TIMEVALUE(_xlfn.TEXTAFTER(EST!D44," - "))+TIME(12,0,0),"hh:mm"),
"OFF")),"OFF")</f>
        <v>OFF</v>
      </c>
      <c r="E44" t="str">
        <f>IFERROR(IF(AND(EST!D44&lt;&gt;"OFF",VALUE(LEFT(EST!D44,2))&gt;=12),
TEXT(TIMEVALUE(_xlfn.TEXTBEFORE(EST!D44," - "))+TIME(12,0,0),"hh:mm")
&amp; " - " &amp;
TEXT(TIMEVALUE(_xlfn.TEXTAFTER(EST!D44," - "))+TIME(12,0,0),"hh:mm"),
IF(AND(EST!E44&lt;&gt;"OFF",VALUE(LEFT(EST!E44,2))&lt;12),
TEXT(TIMEVALUE(_xlfn.TEXTBEFORE(EST!E44," - "))+TIME(12,0,0),"hh:mm")
&amp; " - " &amp;
TEXT(TIMEVALUE(_xlfn.TEXTAFTER(EST!E44," - "))+TIME(12,0,0),"hh:mm"),
"OFF")),"OFF")</f>
        <v>OFF</v>
      </c>
      <c r="F44" t="str">
        <f>IFERROR(IF(EST!E44="OFF",
IF(EST!F44="OFF","OFF",
IF(VALUE(LEFT(EST!F44,2))&lt;12,
TEXT(TIMEVALUE(_xlfn.TEXTBEFORE(EST!F44," - "))+TIME(12,0,0),"hh:mm")
&amp; " - " &amp;
TEXT(TIMEVALUE(_xlfn.TEXTAFTER(EST!F44," - "))+TIME(12,0,0),"hh:mm"),
"OFF")),
TEXT(TIMEVALUE(_xlfn.TEXTBEFORE(EST!E44," - "))+TIME(12,0,0),"hh:mm")
&amp; " - " &amp;
TEXT(TIMEVALUE(_xlfn.TEXTAFTER(EST!E44," - "))+TIME(12,0,0),"hh:mm")),"OFF")</f>
        <v>20:00 - 07:00</v>
      </c>
      <c r="G44" t="str">
        <f>IFERROR(IF(EST!F44="OFF",
IF(EST!G44="OFF","OFF",
IF(VALUE(LEFT(EST!G44,2))&lt;12,
TEXT(TIMEVALUE(_xlfn.TEXTBEFORE(EST!G44," - "))+TIME(12,0,0),"hh:mm")
&amp; " - " &amp;
TEXT(TIMEVALUE(_xlfn.TEXTAFTER(EST!G44," - "))+TIME(12,0,0),"hh:mm"),
"OFF")),
TEXT(TIMEVALUE(_xlfn.TEXTBEFORE(EST!F44," - "))+TIME(12,0,0),"hh:mm")
&amp; " - " &amp;
TEXT(TIMEVALUE(_xlfn.TEXTAFTER(EST!F44," - "))+TIME(12,0,0),"hh:mm")),"OFF")</f>
        <v>20:00 - 07:00</v>
      </c>
      <c r="H44" t="str">
        <f>IFERROR(IF(EST!G44="OFF",
IF(EST!H44="OFF","OFF",
IF(VALUE(LEFT(EST!H44,2))&lt;12,
TEXT(TIMEVALUE(_xlfn.TEXTBEFORE(EST!H44," - "))+TIME(12,0,0),"hh:mm")
&amp; " - " &amp;
TEXT(TIMEVALUE(_xlfn.TEXTAFTER(EST!H44," - "))+TIME(12,0,0),"hh:mm"),
"OFF")),
TEXT(TIMEVALUE(_xlfn.TEXTBEFORE(EST!G44," - "))+TIME(12,0,0),"hh:mm")
&amp; " - " &amp;
TEXT(TIMEVALUE(_xlfn.TEXTAFTER(EST!G44," - "))+TIME(12,0,0),"hh:mm")),"OFF")</f>
        <v>OFF</v>
      </c>
      <c r="I44" t="str">
        <f t="shared" si="1"/>
        <v>Wed - Thu - Sun</v>
      </c>
      <c r="J44" s="38">
        <f>MOD(EST!J44+TIME(12,0,0),1)</f>
        <v>0.92708333333333326</v>
      </c>
      <c r="K44" s="38">
        <f>MOD(EST!K44+TIME(12,0,0),1)</f>
        <v>0.15625</v>
      </c>
      <c r="L44" s="38">
        <f>MOD(EST!L44+TIME(12,0,0),1)</f>
        <v>3.125E-2</v>
      </c>
      <c r="M44" s="38">
        <f>MOD(EST!M44+TIME(12,0,0),1)</f>
        <v>0.25</v>
      </c>
      <c r="N44" t="str">
        <f>EST!N44</f>
        <v>Remmo Panaligan</v>
      </c>
    </row>
    <row r="45" spans="1:14" x14ac:dyDescent="0.25">
      <c r="A45" t="str">
        <f>EST!A45</f>
        <v>JEYCEL ROXAS</v>
      </c>
      <c r="B45" t="str">
        <f>IFERROR(IF(EST!H45="OFF",
IF(EST!B45="OFF","OFF",
IF(VALUE(LEFT(EST!B45,2))&lt;12,
TEXT(TIMEVALUE(_xlfn.TEXTBEFORE(EST!B45," - "))+TIME(12,0,0),"hh:mm")
&amp;" - "&amp;
TEXT(TIMEVALUE(_xlfn.TEXTAFTER(EST!B45," - "))+TIME(12,0,0),"hh:mm"),
"OFF")),
IF(VALUE(LEFT(EST!H45,2))&gt;=12,
TEXT(TIMEVALUE(_xlfn.TEXTBEFORE(EST!H45," - "))+TIME(12,0,0),"hh:mm")
&amp;" - "&amp;
TEXT(TIMEVALUE(_xlfn.TEXTAFTER(EST!H45," - "))+TIME(12,0,0),"hh:mm"),
"OFF")),"OFF")</f>
        <v>20:00 - 07:00</v>
      </c>
      <c r="C45" t="str">
        <f>IFERROR(IF(AND(EST!B45&lt;&gt;"OFF",VALUE(LEFT(EST!B45,2))&gt;=12),
TEXT(TIMEVALUE(_xlfn.TEXTBEFORE(EST!B45," - "))+TIME(12,0,0),"hh:mm")
&amp; " - " &amp;
TEXT(TIMEVALUE(_xlfn.TEXTAFTER(EST!B45," - "))+TIME(12,0,0),"hh:mm"),
IF(AND(EST!C45&lt;&gt;"OFF",VALUE(LEFT(EST!C45,2))&lt;12),
TEXT(TIMEVALUE(_xlfn.TEXTBEFORE(EST!C45," - "))+TIME(12,0,0),"hh:mm")
&amp; " - " &amp;
TEXT(TIMEVALUE(_xlfn.TEXTAFTER(EST!C45," - "))+TIME(12,0,0),"hh:mm"),
"OFF")),"OFF")</f>
        <v>OFF</v>
      </c>
      <c r="D45" t="str">
        <f>IFERROR(IF(AND(EST!C45&lt;&gt;"OFF",VALUE(LEFT(EST!C45,2))&gt;=12),
TEXT(TIMEVALUE(_xlfn.TEXTBEFORE(EST!C45," - "))+TIME(12,0,0),"hh:mm")
&amp; " - " &amp;
TEXT(TIMEVALUE(_xlfn.TEXTAFTER(EST!C45," - "))+TIME(12,0,0),"hh:mm"),
IF(AND(EST!D45&lt;&gt;"OFF",VALUE(LEFT(EST!D45,2))&lt;12),
TEXT(TIMEVALUE(_xlfn.TEXTBEFORE(EST!D45," - "))+TIME(12,0,0),"hh:mm")
&amp; " - " &amp;
TEXT(TIMEVALUE(_xlfn.TEXTAFTER(EST!D45," - "))+TIME(12,0,0),"hh:mm"),
"OFF")),"OFF")</f>
        <v>OFF</v>
      </c>
      <c r="E45" t="str">
        <f>IFERROR(IF(AND(EST!D45&lt;&gt;"OFF",VALUE(LEFT(EST!D45,2))&gt;=12),
TEXT(TIMEVALUE(_xlfn.TEXTBEFORE(EST!D45," - "))+TIME(12,0,0),"hh:mm")
&amp; " - " &amp;
TEXT(TIMEVALUE(_xlfn.TEXTAFTER(EST!D45," - "))+TIME(12,0,0),"hh:mm"),
IF(AND(EST!E45&lt;&gt;"OFF",VALUE(LEFT(EST!E45,2))&lt;12),
TEXT(TIMEVALUE(_xlfn.TEXTBEFORE(EST!E45," - "))+TIME(12,0,0),"hh:mm")
&amp; " - " &amp;
TEXT(TIMEVALUE(_xlfn.TEXTAFTER(EST!E45," - "))+TIME(12,0,0),"hh:mm"),
"OFF")),"OFF")</f>
        <v>20:00 - 07:00</v>
      </c>
      <c r="F45" t="str">
        <f>IFERROR(IF(EST!E45="OFF",
IF(EST!F45="OFF","OFF",
IF(VALUE(LEFT(EST!F45,2))&lt;12,
TEXT(TIMEVALUE(_xlfn.TEXTBEFORE(EST!F45," - "))+TIME(12,0,0),"hh:mm")
&amp; " - " &amp;
TEXT(TIMEVALUE(_xlfn.TEXTAFTER(EST!F45," - "))+TIME(12,0,0),"hh:mm"),
"OFF")),
TEXT(TIMEVALUE(_xlfn.TEXTBEFORE(EST!E45," - "))+TIME(12,0,0),"hh:mm")
&amp; " - " &amp;
TEXT(TIMEVALUE(_xlfn.TEXTAFTER(EST!E45," - "))+TIME(12,0,0),"hh:mm")),"OFF")</f>
        <v>20:00 - 07:00</v>
      </c>
      <c r="G45" t="str">
        <f>IFERROR(IF(EST!F45="OFF",
IF(EST!G45="OFF","OFF",
IF(VALUE(LEFT(EST!G45,2))&lt;12,
TEXT(TIMEVALUE(_xlfn.TEXTBEFORE(EST!G45," - "))+TIME(12,0,0),"hh:mm")
&amp; " - " &amp;
TEXT(TIMEVALUE(_xlfn.TEXTAFTER(EST!G45," - "))+TIME(12,0,0),"hh:mm"),
"OFF")),
TEXT(TIMEVALUE(_xlfn.TEXTBEFORE(EST!F45," - "))+TIME(12,0,0),"hh:mm")
&amp; " - " &amp;
TEXT(TIMEVALUE(_xlfn.TEXTAFTER(EST!F45," - "))+TIME(12,0,0),"hh:mm")),"OFF")</f>
        <v>20:00 - 07:00</v>
      </c>
      <c r="H45" t="str">
        <f>IFERROR(IF(EST!G45="OFF",
IF(EST!H45="OFF","OFF",
IF(VALUE(LEFT(EST!H45,2))&lt;12,
TEXT(TIMEVALUE(_xlfn.TEXTBEFORE(EST!H45," - "))+TIME(12,0,0),"hh:mm")
&amp; " - " &amp;
TEXT(TIMEVALUE(_xlfn.TEXTAFTER(EST!H45," - "))+TIME(12,0,0),"hh:mm"),
"OFF")),
TEXT(TIMEVALUE(_xlfn.TEXTBEFORE(EST!G45," - "))+TIME(12,0,0),"hh:mm")
&amp; " - " &amp;
TEXT(TIMEVALUE(_xlfn.TEXTAFTER(EST!G45," - "))+TIME(12,0,0),"hh:mm")),"OFF")</f>
        <v>OFF</v>
      </c>
      <c r="I45" t="str">
        <f t="shared" si="1"/>
        <v>Tue - Wed - Sun</v>
      </c>
      <c r="J45" s="38">
        <f>MOD(EST!J45+TIME(12,0,0),1)</f>
        <v>0.91666666666666674</v>
      </c>
      <c r="K45" s="38">
        <f>MOD(EST!K45+TIME(12,0,0),1)</f>
        <v>0.14583333333333348</v>
      </c>
      <c r="L45" s="38">
        <f>MOD(EST!L45+TIME(12,0,0),1)</f>
        <v>0</v>
      </c>
      <c r="M45" s="38">
        <f>MOD(EST!M45+TIME(12,0,0),1)</f>
        <v>0.25</v>
      </c>
      <c r="N45" t="str">
        <f>EST!N45</f>
        <v>Manilyn Abellar</v>
      </c>
    </row>
    <row r="46" spans="1:14" x14ac:dyDescent="0.25">
      <c r="A46" t="str">
        <f>EST!A46</f>
        <v>JUVY LABONG</v>
      </c>
      <c r="B46" t="str">
        <f>IFERROR(IF(EST!H46="OFF",
IF(EST!B46="OFF","OFF",
IF(VALUE(LEFT(EST!B46,2))&lt;12,
TEXT(TIMEVALUE(_xlfn.TEXTBEFORE(EST!B46," - "))+TIME(12,0,0),"hh:mm")
&amp;" - "&amp;
TEXT(TIMEVALUE(_xlfn.TEXTAFTER(EST!B46," - "))+TIME(12,0,0),"hh:mm"),
"OFF")),
IF(VALUE(LEFT(EST!H46,2))&gt;=12,
TEXT(TIMEVALUE(_xlfn.TEXTBEFORE(EST!H46," - "))+TIME(12,0,0),"hh:mm")
&amp;" - "&amp;
TEXT(TIMEVALUE(_xlfn.TEXTAFTER(EST!H46," - "))+TIME(12,0,0),"hh:mm"),
"OFF")),"OFF")</f>
        <v>20:00 - 07:00</v>
      </c>
      <c r="C46" t="str">
        <f>IFERROR(IF(AND(EST!B46&lt;&gt;"OFF",VALUE(LEFT(EST!B46,2))&gt;=12),
TEXT(TIMEVALUE(_xlfn.TEXTBEFORE(EST!B46," - "))+TIME(12,0,0),"hh:mm")
&amp; " - " &amp;
TEXT(TIMEVALUE(_xlfn.TEXTAFTER(EST!B46," - "))+TIME(12,0,0),"hh:mm"),
IF(AND(EST!C46&lt;&gt;"OFF",VALUE(LEFT(EST!C46,2))&lt;12),
TEXT(TIMEVALUE(_xlfn.TEXTBEFORE(EST!C46," - "))+TIME(12,0,0),"hh:mm")
&amp; " - " &amp;
TEXT(TIMEVALUE(_xlfn.TEXTAFTER(EST!C46," - "))+TIME(12,0,0),"hh:mm"),
"OFF")),"OFF")</f>
        <v>OFF</v>
      </c>
      <c r="D46" t="str">
        <f>IFERROR(IF(AND(EST!C46&lt;&gt;"OFF",VALUE(LEFT(EST!C46,2))&gt;=12),
TEXT(TIMEVALUE(_xlfn.TEXTBEFORE(EST!C46," - "))+TIME(12,0,0),"hh:mm")
&amp; " - " &amp;
TEXT(TIMEVALUE(_xlfn.TEXTAFTER(EST!C46," - "))+TIME(12,0,0),"hh:mm"),
IF(AND(EST!D46&lt;&gt;"OFF",VALUE(LEFT(EST!D46,2))&lt;12),
TEXT(TIMEVALUE(_xlfn.TEXTBEFORE(EST!D46," - "))+TIME(12,0,0),"hh:mm")
&amp; " - " &amp;
TEXT(TIMEVALUE(_xlfn.TEXTAFTER(EST!D46," - "))+TIME(12,0,0),"hh:mm"),
"OFF")),"OFF")</f>
        <v>OFF</v>
      </c>
      <c r="E46" t="str">
        <f>IFERROR(IF(AND(EST!D46&lt;&gt;"OFF",VALUE(LEFT(EST!D46,2))&gt;=12),
TEXT(TIMEVALUE(_xlfn.TEXTBEFORE(EST!D46," - "))+TIME(12,0,0),"hh:mm")
&amp; " - " &amp;
TEXT(TIMEVALUE(_xlfn.TEXTAFTER(EST!D46," - "))+TIME(12,0,0),"hh:mm"),
IF(AND(EST!E46&lt;&gt;"OFF",VALUE(LEFT(EST!E46,2))&lt;12),
TEXT(TIMEVALUE(_xlfn.TEXTBEFORE(EST!E46," - "))+TIME(12,0,0),"hh:mm")
&amp; " - " &amp;
TEXT(TIMEVALUE(_xlfn.TEXTAFTER(EST!E46," - "))+TIME(12,0,0),"hh:mm"),
"OFF")),"OFF")</f>
        <v>20:00 - 07:00</v>
      </c>
      <c r="F46" t="str">
        <f>IFERROR(IF(EST!E46="OFF",
IF(EST!F46="OFF","OFF",
IF(VALUE(LEFT(EST!F46,2))&lt;12,
TEXT(TIMEVALUE(_xlfn.TEXTBEFORE(EST!F46," - "))+TIME(12,0,0),"hh:mm")
&amp; " - " &amp;
TEXT(TIMEVALUE(_xlfn.TEXTAFTER(EST!F46," - "))+TIME(12,0,0),"hh:mm"),
"OFF")),
TEXT(TIMEVALUE(_xlfn.TEXTBEFORE(EST!E46," - "))+TIME(12,0,0),"hh:mm")
&amp; " - " &amp;
TEXT(TIMEVALUE(_xlfn.TEXTAFTER(EST!E46," - "))+TIME(12,0,0),"hh:mm")),"OFF")</f>
        <v>20:00 - 07:00</v>
      </c>
      <c r="G46" t="str">
        <f>IFERROR(IF(EST!F46="OFF",
IF(EST!G46="OFF","OFF",
IF(VALUE(LEFT(EST!G46,2))&lt;12,
TEXT(TIMEVALUE(_xlfn.TEXTBEFORE(EST!G46," - "))+TIME(12,0,0),"hh:mm")
&amp; " - " &amp;
TEXT(TIMEVALUE(_xlfn.TEXTAFTER(EST!G46," - "))+TIME(12,0,0),"hh:mm"),
"OFF")),
TEXT(TIMEVALUE(_xlfn.TEXTBEFORE(EST!F46," - "))+TIME(12,0,0),"hh:mm")
&amp; " - " &amp;
TEXT(TIMEVALUE(_xlfn.TEXTAFTER(EST!F46," - "))+TIME(12,0,0),"hh:mm")),"OFF")</f>
        <v>20:00 - 07:00</v>
      </c>
      <c r="H46" t="str">
        <f>IFERROR(IF(EST!G46="OFF",
IF(EST!H46="OFF","OFF",
IF(VALUE(LEFT(EST!H46,2))&lt;12,
TEXT(TIMEVALUE(_xlfn.TEXTBEFORE(EST!H46," - "))+TIME(12,0,0),"hh:mm")
&amp; " - " &amp;
TEXT(TIMEVALUE(_xlfn.TEXTAFTER(EST!H46," - "))+TIME(12,0,0),"hh:mm"),
"OFF")),
TEXT(TIMEVALUE(_xlfn.TEXTBEFORE(EST!G46," - "))+TIME(12,0,0),"hh:mm")
&amp; " - " &amp;
TEXT(TIMEVALUE(_xlfn.TEXTAFTER(EST!G46," - "))+TIME(12,0,0),"hh:mm")),"OFF")</f>
        <v>OFF</v>
      </c>
      <c r="I46" t="str">
        <f t="shared" si="1"/>
        <v>Tue - Wed - Sun</v>
      </c>
      <c r="J46" s="38">
        <f>MOD(EST!J46+TIME(12,0,0),1)</f>
        <v>0.92708333333333326</v>
      </c>
      <c r="K46" s="38">
        <f>MOD(EST!K46+TIME(12,0,0),1)</f>
        <v>0.13541666666666652</v>
      </c>
      <c r="L46" s="38">
        <f>MOD(EST!L46+TIME(12,0,0),1)</f>
        <v>1.0416666666666519E-2</v>
      </c>
      <c r="M46" s="38">
        <f>MOD(EST!M46+TIME(12,0,0),1)</f>
        <v>0.23958333333333348</v>
      </c>
      <c r="N46" t="str">
        <f>EST!N46</f>
        <v>Remmo Panaligan</v>
      </c>
    </row>
    <row r="47" spans="1:14" x14ac:dyDescent="0.25">
      <c r="A47" t="str">
        <f>EST!A47</f>
        <v>KENNETH ORIBELLO</v>
      </c>
      <c r="B47" t="str">
        <f>IFERROR(IF(EST!H47="OFF",
IF(EST!B47="OFF","OFF",
IF(VALUE(LEFT(EST!B47,2))&lt;12,
TEXT(TIMEVALUE(_xlfn.TEXTBEFORE(EST!B47," - "))+TIME(12,0,0),"hh:mm")
&amp;" - "&amp;
TEXT(TIMEVALUE(_xlfn.TEXTAFTER(EST!B47," - "))+TIME(12,0,0),"hh:mm"),
"OFF")),
IF(VALUE(LEFT(EST!H47,2))&gt;=12,
TEXT(TIMEVALUE(_xlfn.TEXTBEFORE(EST!H47," - "))+TIME(12,0,0),"hh:mm")
&amp;" - "&amp;
TEXT(TIMEVALUE(_xlfn.TEXTAFTER(EST!H47," - "))+TIME(12,0,0),"hh:mm"),
"OFF")),"OFF")</f>
        <v>20:00 - 07:00</v>
      </c>
      <c r="C47" t="str">
        <f>IFERROR(IF(AND(EST!B47&lt;&gt;"OFF",VALUE(LEFT(EST!B47,2))&gt;=12),
TEXT(TIMEVALUE(_xlfn.TEXTBEFORE(EST!B47," - "))+TIME(12,0,0),"hh:mm")
&amp; " - " &amp;
TEXT(TIMEVALUE(_xlfn.TEXTAFTER(EST!B47," - "))+TIME(12,0,0),"hh:mm"),
IF(AND(EST!C47&lt;&gt;"OFF",VALUE(LEFT(EST!C47,2))&lt;12),
TEXT(TIMEVALUE(_xlfn.TEXTBEFORE(EST!C47," - "))+TIME(12,0,0),"hh:mm")
&amp; " - " &amp;
TEXT(TIMEVALUE(_xlfn.TEXTAFTER(EST!C47," - "))+TIME(12,0,0),"hh:mm"),
"OFF")),"OFF")</f>
        <v>20:00 - 07:00</v>
      </c>
      <c r="D47" t="str">
        <f>IFERROR(IF(AND(EST!C47&lt;&gt;"OFF",VALUE(LEFT(EST!C47,2))&gt;=12),
TEXT(TIMEVALUE(_xlfn.TEXTBEFORE(EST!C47," - "))+TIME(12,0,0),"hh:mm")
&amp; " - " &amp;
TEXT(TIMEVALUE(_xlfn.TEXTAFTER(EST!C47," - "))+TIME(12,0,0),"hh:mm"),
IF(AND(EST!D47&lt;&gt;"OFF",VALUE(LEFT(EST!D47,2))&lt;12),
TEXT(TIMEVALUE(_xlfn.TEXTBEFORE(EST!D47," - "))+TIME(12,0,0),"hh:mm")
&amp; " - " &amp;
TEXT(TIMEVALUE(_xlfn.TEXTAFTER(EST!D47," - "))+TIME(12,0,0),"hh:mm"),
"OFF")),"OFF")</f>
        <v>OFF</v>
      </c>
      <c r="E47" t="str">
        <f>IFERROR(IF(AND(EST!D47&lt;&gt;"OFF",VALUE(LEFT(EST!D47,2))&gt;=12),
TEXT(TIMEVALUE(_xlfn.TEXTBEFORE(EST!D47," - "))+TIME(12,0,0),"hh:mm")
&amp; " - " &amp;
TEXT(TIMEVALUE(_xlfn.TEXTAFTER(EST!D47," - "))+TIME(12,0,0),"hh:mm"),
IF(AND(EST!E47&lt;&gt;"OFF",VALUE(LEFT(EST!E47,2))&lt;12),
TEXT(TIMEVALUE(_xlfn.TEXTBEFORE(EST!E47," - "))+TIME(12,0,0),"hh:mm")
&amp; " - " &amp;
TEXT(TIMEVALUE(_xlfn.TEXTAFTER(EST!E47," - "))+TIME(12,0,0),"hh:mm"),
"OFF")),"OFF")</f>
        <v>OFF</v>
      </c>
      <c r="F47" t="str">
        <f>IFERROR(IF(EST!E47="OFF",
IF(EST!F47="OFF","OFF",
IF(VALUE(LEFT(EST!F47,2))&lt;12,
TEXT(TIMEVALUE(_xlfn.TEXTBEFORE(EST!F47," - "))+TIME(12,0,0),"hh:mm")
&amp; " - " &amp;
TEXT(TIMEVALUE(_xlfn.TEXTAFTER(EST!F47," - "))+TIME(12,0,0),"hh:mm"),
"OFF")),
TEXT(TIMEVALUE(_xlfn.TEXTBEFORE(EST!E47," - "))+TIME(12,0,0),"hh:mm")
&amp; " - " &amp;
TEXT(TIMEVALUE(_xlfn.TEXTAFTER(EST!E47," - "))+TIME(12,0,0),"hh:mm")),"OFF")</f>
        <v>20:00 - 07:00</v>
      </c>
      <c r="G47" t="str">
        <f>IFERROR(IF(EST!F47="OFF",
IF(EST!G47="OFF","OFF",
IF(VALUE(LEFT(EST!G47,2))&lt;12,
TEXT(TIMEVALUE(_xlfn.TEXTBEFORE(EST!G47," - "))+TIME(12,0,0),"hh:mm")
&amp; " - " &amp;
TEXT(TIMEVALUE(_xlfn.TEXTAFTER(EST!G47," - "))+TIME(12,0,0),"hh:mm"),
"OFF")),
TEXT(TIMEVALUE(_xlfn.TEXTBEFORE(EST!F47," - "))+TIME(12,0,0),"hh:mm")
&amp; " - " &amp;
TEXT(TIMEVALUE(_xlfn.TEXTAFTER(EST!F47," - "))+TIME(12,0,0),"hh:mm")),"OFF")</f>
        <v>20:00 - 07:00</v>
      </c>
      <c r="H47" t="str">
        <f>IFERROR(IF(EST!G47="OFF",
IF(EST!H47="OFF","OFF",
IF(VALUE(LEFT(EST!H47,2))&lt;12,
TEXT(TIMEVALUE(_xlfn.TEXTBEFORE(EST!H47," - "))+TIME(12,0,0),"hh:mm")
&amp; " - " &amp;
TEXT(TIMEVALUE(_xlfn.TEXTAFTER(EST!H47," - "))+TIME(12,0,0),"hh:mm"),
"OFF")),
TEXT(TIMEVALUE(_xlfn.TEXTBEFORE(EST!G47," - "))+TIME(12,0,0),"hh:mm")
&amp; " - " &amp;
TEXT(TIMEVALUE(_xlfn.TEXTAFTER(EST!G47," - "))+TIME(12,0,0),"hh:mm")),"OFF")</f>
        <v>OFF</v>
      </c>
      <c r="I47" t="str">
        <f t="shared" si="1"/>
        <v>Wed - Thu - Sun</v>
      </c>
      <c r="J47" s="38">
        <f>MOD(EST!J47+TIME(12,0,0),1)</f>
        <v>0.9375</v>
      </c>
      <c r="K47" s="38">
        <f>MOD(EST!K47+TIME(12,0,0),1)</f>
        <v>0.1875</v>
      </c>
      <c r="L47" s="38">
        <f>MOD(EST!L47+TIME(12,0,0),1)</f>
        <v>6.25E-2</v>
      </c>
      <c r="M47" s="38">
        <f>MOD(EST!M47+TIME(12,0,0),1)</f>
        <v>0.25</v>
      </c>
      <c r="N47" t="str">
        <f>EST!N47</f>
        <v>Michael Dominguez</v>
      </c>
    </row>
    <row r="48" spans="1:14" x14ac:dyDescent="0.25">
      <c r="A48" t="str">
        <f>EST!A48</f>
        <v>LANZ JASON MEDALLO</v>
      </c>
      <c r="B48" t="str">
        <f>IFERROR(IF(EST!H48="OFF",
IF(EST!B48="OFF","OFF",
IF(VALUE(LEFT(EST!B48,2))&lt;12,
TEXT(TIMEVALUE(_xlfn.TEXTBEFORE(EST!B48," - "))+TIME(12,0,0),"hh:mm")
&amp;" - "&amp;
TEXT(TIMEVALUE(_xlfn.TEXTAFTER(EST!B48," - "))+TIME(12,0,0),"hh:mm"),
"OFF")),
IF(VALUE(LEFT(EST!H48,2))&gt;=12,
TEXT(TIMEVALUE(_xlfn.TEXTBEFORE(EST!H48," - "))+TIME(12,0,0),"hh:mm")
&amp;" - "&amp;
TEXT(TIMEVALUE(_xlfn.TEXTAFTER(EST!H48," - "))+TIME(12,0,0),"hh:mm"),
"OFF")),"OFF")</f>
        <v>20:00 - 07:00</v>
      </c>
      <c r="C48" t="str">
        <f>IFERROR(IF(AND(EST!B48&lt;&gt;"OFF",VALUE(LEFT(EST!B48,2))&gt;=12),
TEXT(TIMEVALUE(_xlfn.TEXTBEFORE(EST!B48," - "))+TIME(12,0,0),"hh:mm")
&amp; " - " &amp;
TEXT(TIMEVALUE(_xlfn.TEXTAFTER(EST!B48," - "))+TIME(12,0,0),"hh:mm"),
IF(AND(EST!C48&lt;&gt;"OFF",VALUE(LEFT(EST!C48,2))&lt;12),
TEXT(TIMEVALUE(_xlfn.TEXTBEFORE(EST!C48," - "))+TIME(12,0,0),"hh:mm")
&amp; " - " &amp;
TEXT(TIMEVALUE(_xlfn.TEXTAFTER(EST!C48," - "))+TIME(12,0,0),"hh:mm"),
"OFF")),"OFF")</f>
        <v>20:00 - 07:00</v>
      </c>
      <c r="D48" t="str">
        <f>IFERROR(IF(AND(EST!C48&lt;&gt;"OFF",VALUE(LEFT(EST!C48,2))&gt;=12),
TEXT(TIMEVALUE(_xlfn.TEXTBEFORE(EST!C48," - "))+TIME(12,0,0),"hh:mm")
&amp; " - " &amp;
TEXT(TIMEVALUE(_xlfn.TEXTAFTER(EST!C48," - "))+TIME(12,0,0),"hh:mm"),
IF(AND(EST!D48&lt;&gt;"OFF",VALUE(LEFT(EST!D48,2))&lt;12),
TEXT(TIMEVALUE(_xlfn.TEXTBEFORE(EST!D48," - "))+TIME(12,0,0),"hh:mm")
&amp; " - " &amp;
TEXT(TIMEVALUE(_xlfn.TEXTAFTER(EST!D48," - "))+TIME(12,0,0),"hh:mm"),
"OFF")),"OFF")</f>
        <v>OFF</v>
      </c>
      <c r="E48" t="str">
        <f>IFERROR(IF(AND(EST!D48&lt;&gt;"OFF",VALUE(LEFT(EST!D48,2))&gt;=12),
TEXT(TIMEVALUE(_xlfn.TEXTBEFORE(EST!D48," - "))+TIME(12,0,0),"hh:mm")
&amp; " - " &amp;
TEXT(TIMEVALUE(_xlfn.TEXTAFTER(EST!D48," - "))+TIME(12,0,0),"hh:mm"),
IF(AND(EST!E48&lt;&gt;"OFF",VALUE(LEFT(EST!E48,2))&lt;12),
TEXT(TIMEVALUE(_xlfn.TEXTBEFORE(EST!E48," - "))+TIME(12,0,0),"hh:mm")
&amp; " - " &amp;
TEXT(TIMEVALUE(_xlfn.TEXTAFTER(EST!E48," - "))+TIME(12,0,0),"hh:mm"),
"OFF")),"OFF")</f>
        <v>OFF</v>
      </c>
      <c r="F48" t="str">
        <f>IFERROR(IF(EST!E48="OFF",
IF(EST!F48="OFF","OFF",
IF(VALUE(LEFT(EST!F48,2))&lt;12,
TEXT(TIMEVALUE(_xlfn.TEXTBEFORE(EST!F48," - "))+TIME(12,0,0),"hh:mm")
&amp; " - " &amp;
TEXT(TIMEVALUE(_xlfn.TEXTAFTER(EST!F48," - "))+TIME(12,0,0),"hh:mm"),
"OFF")),
TEXT(TIMEVALUE(_xlfn.TEXTBEFORE(EST!E48," - "))+TIME(12,0,0),"hh:mm")
&amp; " - " &amp;
TEXT(TIMEVALUE(_xlfn.TEXTAFTER(EST!E48," - "))+TIME(12,0,0),"hh:mm")),"OFF")</f>
        <v>20:00 - 07:00</v>
      </c>
      <c r="G48" t="str">
        <f>IFERROR(IF(EST!F48="OFF",
IF(EST!G48="OFF","OFF",
IF(VALUE(LEFT(EST!G48,2))&lt;12,
TEXT(TIMEVALUE(_xlfn.TEXTBEFORE(EST!G48," - "))+TIME(12,0,0),"hh:mm")
&amp; " - " &amp;
TEXT(TIMEVALUE(_xlfn.TEXTAFTER(EST!G48," - "))+TIME(12,0,0),"hh:mm"),
"OFF")),
TEXT(TIMEVALUE(_xlfn.TEXTBEFORE(EST!F48," - "))+TIME(12,0,0),"hh:mm")
&amp; " - " &amp;
TEXT(TIMEVALUE(_xlfn.TEXTAFTER(EST!F48," - "))+TIME(12,0,0),"hh:mm")),"OFF")</f>
        <v>20:00 - 07:00</v>
      </c>
      <c r="H48" t="str">
        <f>IFERROR(IF(EST!G48="OFF",
IF(EST!H48="OFF","OFF",
IF(VALUE(LEFT(EST!H48,2))&lt;12,
TEXT(TIMEVALUE(_xlfn.TEXTBEFORE(EST!H48," - "))+TIME(12,0,0),"hh:mm")
&amp; " - " &amp;
TEXT(TIMEVALUE(_xlfn.TEXTAFTER(EST!H48," - "))+TIME(12,0,0),"hh:mm"),
"OFF")),
TEXT(TIMEVALUE(_xlfn.TEXTBEFORE(EST!G48," - "))+TIME(12,0,0),"hh:mm")
&amp; " - " &amp;
TEXT(TIMEVALUE(_xlfn.TEXTAFTER(EST!G48," - "))+TIME(12,0,0),"hh:mm")),"OFF")</f>
        <v>OFF</v>
      </c>
      <c r="I48" t="str">
        <f t="shared" si="1"/>
        <v>Wed - Thu - Sun</v>
      </c>
      <c r="J48" s="38">
        <f>MOD(EST!J48+TIME(12,0,0),1)</f>
        <v>0.91666666666666674</v>
      </c>
      <c r="K48" s="38">
        <f>MOD(EST!K48+TIME(12,0,0),1)</f>
        <v>0.125</v>
      </c>
      <c r="L48" s="38">
        <f>MOD(EST!L48+TIME(12,0,0),1)</f>
        <v>0</v>
      </c>
      <c r="M48" s="38">
        <f>MOD(EST!M48+TIME(12,0,0),1)</f>
        <v>0.21875</v>
      </c>
      <c r="N48" t="str">
        <f>EST!N48</f>
        <v>Remmo Panaligan</v>
      </c>
    </row>
    <row r="49" spans="1:14" x14ac:dyDescent="0.25">
      <c r="A49" t="str">
        <f>EST!A49</f>
        <v>WILLIAM NAVA</v>
      </c>
      <c r="B49" t="str">
        <f>IFERROR(IF(EST!H49="OFF",
IF(EST!B49="OFF","OFF",
IF(VALUE(LEFT(EST!B49,2))&lt;12,
TEXT(TIMEVALUE(_xlfn.TEXTBEFORE(EST!B49," - "))+TIME(12,0,0),"hh:mm")
&amp;" - "&amp;
TEXT(TIMEVALUE(_xlfn.TEXTAFTER(EST!B49," - "))+TIME(12,0,0),"hh:mm"),
"OFF")),
IF(VALUE(LEFT(EST!H49,2))&gt;=12,
TEXT(TIMEVALUE(_xlfn.TEXTBEFORE(EST!H49," - "))+TIME(12,0,0),"hh:mm")
&amp;" - "&amp;
TEXT(TIMEVALUE(_xlfn.TEXTAFTER(EST!H49," - "))+TIME(12,0,0),"hh:mm"),
"OFF")),"OFF")</f>
        <v>20:00 - 07:00</v>
      </c>
      <c r="C49" t="str">
        <f>IFERROR(IF(AND(EST!B49&lt;&gt;"OFF",VALUE(LEFT(EST!B49,2))&gt;=12),
TEXT(TIMEVALUE(_xlfn.TEXTBEFORE(EST!B49," - "))+TIME(12,0,0),"hh:mm")
&amp; " - " &amp;
TEXT(TIMEVALUE(_xlfn.TEXTAFTER(EST!B49," - "))+TIME(12,0,0),"hh:mm"),
IF(AND(EST!C49&lt;&gt;"OFF",VALUE(LEFT(EST!C49,2))&lt;12),
TEXT(TIMEVALUE(_xlfn.TEXTBEFORE(EST!C49," - "))+TIME(12,0,0),"hh:mm")
&amp; " - " &amp;
TEXT(TIMEVALUE(_xlfn.TEXTAFTER(EST!C49," - "))+TIME(12,0,0),"hh:mm"),
"OFF")),"OFF")</f>
        <v>OFF</v>
      </c>
      <c r="D49" t="str">
        <f>IFERROR(IF(AND(EST!C49&lt;&gt;"OFF",VALUE(LEFT(EST!C49,2))&gt;=12),
TEXT(TIMEVALUE(_xlfn.TEXTBEFORE(EST!C49," - "))+TIME(12,0,0),"hh:mm")
&amp; " - " &amp;
TEXT(TIMEVALUE(_xlfn.TEXTAFTER(EST!C49," - "))+TIME(12,0,0),"hh:mm"),
IF(AND(EST!D49&lt;&gt;"OFF",VALUE(LEFT(EST!D49,2))&lt;12),
TEXT(TIMEVALUE(_xlfn.TEXTBEFORE(EST!D49," - "))+TIME(12,0,0),"hh:mm")
&amp; " - " &amp;
TEXT(TIMEVALUE(_xlfn.TEXTAFTER(EST!D49," - "))+TIME(12,0,0),"hh:mm"),
"OFF")),"OFF")</f>
        <v>OFF</v>
      </c>
      <c r="E49" t="str">
        <f>IFERROR(IF(AND(EST!D49&lt;&gt;"OFF",VALUE(LEFT(EST!D49,2))&gt;=12),
TEXT(TIMEVALUE(_xlfn.TEXTBEFORE(EST!D49," - "))+TIME(12,0,0),"hh:mm")
&amp; " - " &amp;
TEXT(TIMEVALUE(_xlfn.TEXTAFTER(EST!D49," - "))+TIME(12,0,0),"hh:mm"),
IF(AND(EST!E49&lt;&gt;"OFF",VALUE(LEFT(EST!E49,2))&lt;12),
TEXT(TIMEVALUE(_xlfn.TEXTBEFORE(EST!E49," - "))+TIME(12,0,0),"hh:mm")
&amp; " - " &amp;
TEXT(TIMEVALUE(_xlfn.TEXTAFTER(EST!E49," - "))+TIME(12,0,0),"hh:mm"),
"OFF")),"OFF")</f>
        <v>20:00 - 07:00</v>
      </c>
      <c r="F49" t="str">
        <f>IFERROR(IF(EST!E49="OFF",
IF(EST!F49="OFF","OFF",
IF(VALUE(LEFT(EST!F49,2))&lt;12,
TEXT(TIMEVALUE(_xlfn.TEXTBEFORE(EST!F49," - "))+TIME(12,0,0),"hh:mm")
&amp; " - " &amp;
TEXT(TIMEVALUE(_xlfn.TEXTAFTER(EST!F49," - "))+TIME(12,0,0),"hh:mm"),
"OFF")),
TEXT(TIMEVALUE(_xlfn.TEXTBEFORE(EST!E49," - "))+TIME(12,0,0),"hh:mm")
&amp; " - " &amp;
TEXT(TIMEVALUE(_xlfn.TEXTAFTER(EST!E49," - "))+TIME(12,0,0),"hh:mm")),"OFF")</f>
        <v>20:00 - 07:00</v>
      </c>
      <c r="G49" t="str">
        <f>IFERROR(IF(EST!F49="OFF",
IF(EST!G49="OFF","OFF",
IF(VALUE(LEFT(EST!G49,2))&lt;12,
TEXT(TIMEVALUE(_xlfn.TEXTBEFORE(EST!G49," - "))+TIME(12,0,0),"hh:mm")
&amp; " - " &amp;
TEXT(TIMEVALUE(_xlfn.TEXTAFTER(EST!G49," - "))+TIME(12,0,0),"hh:mm"),
"OFF")),
TEXT(TIMEVALUE(_xlfn.TEXTBEFORE(EST!F49," - "))+TIME(12,0,0),"hh:mm")
&amp; " - " &amp;
TEXT(TIMEVALUE(_xlfn.TEXTAFTER(EST!F49," - "))+TIME(12,0,0),"hh:mm")),"OFF")</f>
        <v>20:00 - 07:00</v>
      </c>
      <c r="H49" t="str">
        <f>IFERROR(IF(EST!G49="OFF",
IF(EST!H49="OFF","OFF",
IF(VALUE(LEFT(EST!H49,2))&lt;12,
TEXT(TIMEVALUE(_xlfn.TEXTBEFORE(EST!H49," - "))+TIME(12,0,0),"hh:mm")
&amp; " - " &amp;
TEXT(TIMEVALUE(_xlfn.TEXTAFTER(EST!H49," - "))+TIME(12,0,0),"hh:mm"),
"OFF")),
TEXT(TIMEVALUE(_xlfn.TEXTBEFORE(EST!G49," - "))+TIME(12,0,0),"hh:mm")
&amp; " - " &amp;
TEXT(TIMEVALUE(_xlfn.TEXTAFTER(EST!G49," - "))+TIME(12,0,0),"hh:mm")),"OFF")</f>
        <v>OFF</v>
      </c>
      <c r="I49" t="str">
        <f t="shared" si="1"/>
        <v>Tue - Wed - Sun</v>
      </c>
      <c r="J49" s="38">
        <f>MOD(EST!J49+TIME(12,0,0),1)</f>
        <v>0.92708333333333326</v>
      </c>
      <c r="K49" s="38">
        <f>MOD(EST!K49+TIME(12,0,0),1)</f>
        <v>0.14583333333333348</v>
      </c>
      <c r="L49" s="38">
        <f>MOD(EST!L49+TIME(12,0,0),1)</f>
        <v>1.0416666666666519E-2</v>
      </c>
      <c r="M49" s="38">
        <f>MOD(EST!M49+TIME(12,0,0),1)</f>
        <v>0.26041666666666652</v>
      </c>
      <c r="N49" t="str">
        <f>EST!N49</f>
        <v>Anmecha Valencia</v>
      </c>
    </row>
    <row r="50" spans="1:14" x14ac:dyDescent="0.25">
      <c r="A50" t="str">
        <f>EST!A50</f>
        <v>ANTONIO AGDA</v>
      </c>
      <c r="B50" t="str">
        <f>IFERROR(IF(EST!H50="OFF",
IF(EST!B50="OFF","OFF",
IF(VALUE(LEFT(EST!B50,2))&lt;12,
TEXT(TIMEVALUE(_xlfn.TEXTBEFORE(EST!B50," - "))+TIME(12,0,0),"hh:mm")
&amp;" - "&amp;
TEXT(TIMEVALUE(_xlfn.TEXTAFTER(EST!B50," - "))+TIME(12,0,0),"hh:mm"),
"OFF")),
IF(VALUE(LEFT(EST!H50,2))&gt;=12,
TEXT(TIMEVALUE(_xlfn.TEXTBEFORE(EST!H50," - "))+TIME(12,0,0),"hh:mm")
&amp;" - "&amp;
TEXT(TIMEVALUE(_xlfn.TEXTAFTER(EST!H50," - "))+TIME(12,0,0),"hh:mm"),
"OFF")),"OFF")</f>
        <v>19:30 - 06:30</v>
      </c>
      <c r="C50" t="str">
        <f>IFERROR(IF(AND(EST!B50&lt;&gt;"OFF",VALUE(LEFT(EST!B50,2))&gt;=12),
TEXT(TIMEVALUE(_xlfn.TEXTBEFORE(EST!B50," - "))+TIME(12,0,0),"hh:mm")
&amp; " - " &amp;
TEXT(TIMEVALUE(_xlfn.TEXTAFTER(EST!B50," - "))+TIME(12,0,0),"hh:mm"),
IF(AND(EST!C50&lt;&gt;"OFF",VALUE(LEFT(EST!C50,2))&lt;12),
TEXT(TIMEVALUE(_xlfn.TEXTBEFORE(EST!C50," - "))+TIME(12,0,0),"hh:mm")
&amp; " - " &amp;
TEXT(TIMEVALUE(_xlfn.TEXTAFTER(EST!C50," - "))+TIME(12,0,0),"hh:mm"),
"OFF")),"OFF")</f>
        <v>19:30 - 06:30</v>
      </c>
      <c r="D50" t="str">
        <f>IFERROR(IF(AND(EST!C50&lt;&gt;"OFF",VALUE(LEFT(EST!C50,2))&gt;=12),
TEXT(TIMEVALUE(_xlfn.TEXTBEFORE(EST!C50," - "))+TIME(12,0,0),"hh:mm")
&amp; " - " &amp;
TEXT(TIMEVALUE(_xlfn.TEXTAFTER(EST!C50," - "))+TIME(12,0,0),"hh:mm"),
IF(AND(EST!D50&lt;&gt;"OFF",VALUE(LEFT(EST!D50,2))&lt;12),
TEXT(TIMEVALUE(_xlfn.TEXTBEFORE(EST!D50," - "))+TIME(12,0,0),"hh:mm")
&amp; " - " &amp;
TEXT(TIMEVALUE(_xlfn.TEXTAFTER(EST!D50," - "))+TIME(12,0,0),"hh:mm"),
"OFF")),"OFF")</f>
        <v>19:30 - 06:30</v>
      </c>
      <c r="E50" t="str">
        <f>IFERROR(IF(AND(EST!D50&lt;&gt;"OFF",VALUE(LEFT(EST!D50,2))&gt;=12),
TEXT(TIMEVALUE(_xlfn.TEXTBEFORE(EST!D50," - "))+TIME(12,0,0),"hh:mm")
&amp; " - " &amp;
TEXT(TIMEVALUE(_xlfn.TEXTAFTER(EST!D50," - "))+TIME(12,0,0),"hh:mm"),
IF(AND(EST!E50&lt;&gt;"OFF",VALUE(LEFT(EST!E50,2))&lt;12),
TEXT(TIMEVALUE(_xlfn.TEXTBEFORE(EST!E50," - "))+TIME(12,0,0),"hh:mm")
&amp; " - " &amp;
TEXT(TIMEVALUE(_xlfn.TEXTAFTER(EST!E50," - "))+TIME(12,0,0),"hh:mm"),
"OFF")),"OFF")</f>
        <v>19:30 - 06:30</v>
      </c>
      <c r="F50" t="str">
        <f>IFERROR(IF(EST!E50="OFF",
IF(EST!F50="OFF","OFF",
IF(VALUE(LEFT(EST!F50,2))&lt;12,
TEXT(TIMEVALUE(_xlfn.TEXTBEFORE(EST!F50," - "))+TIME(12,0,0),"hh:mm")
&amp; " - " &amp;
TEXT(TIMEVALUE(_xlfn.TEXTAFTER(EST!F50," - "))+TIME(12,0,0),"hh:mm"),
"OFF")),
TEXT(TIMEVALUE(_xlfn.TEXTBEFORE(EST!E50," - "))+TIME(12,0,0),"hh:mm")
&amp; " - " &amp;
TEXT(TIMEVALUE(_xlfn.TEXTAFTER(EST!E50," - "))+TIME(12,0,0),"hh:mm")),"OFF")</f>
        <v>19:30 - 06:30</v>
      </c>
      <c r="G50" t="str">
        <f>IFERROR(IF(EST!F50="OFF",
IF(EST!G50="OFF","OFF",
IF(VALUE(LEFT(EST!G50,2))&lt;12,
TEXT(TIMEVALUE(_xlfn.TEXTBEFORE(EST!G50," - "))+TIME(12,0,0),"hh:mm")
&amp; " - " &amp;
TEXT(TIMEVALUE(_xlfn.TEXTAFTER(EST!G50," - "))+TIME(12,0,0),"hh:mm"),
"OFF")),
TEXT(TIMEVALUE(_xlfn.TEXTBEFORE(EST!F50," - "))+TIME(12,0,0),"hh:mm")
&amp; " - " &amp;
TEXT(TIMEVALUE(_xlfn.TEXTAFTER(EST!F50," - "))+TIME(12,0,0),"hh:mm")),"OFF")</f>
        <v>OFF</v>
      </c>
      <c r="H50" t="str">
        <f>IFERROR(IF(EST!G50="OFF",
IF(EST!H50="OFF","OFF",
IF(VALUE(LEFT(EST!H50,2))&lt;12,
TEXT(TIMEVALUE(_xlfn.TEXTBEFORE(EST!H50," - "))+TIME(12,0,0),"hh:mm")
&amp; " - " &amp;
TEXT(TIMEVALUE(_xlfn.TEXTAFTER(EST!H50," - "))+TIME(12,0,0),"hh:mm"),
"OFF")),
TEXT(TIMEVALUE(_xlfn.TEXTBEFORE(EST!G50," - "))+TIME(12,0,0),"hh:mm")
&amp; " - " &amp;
TEXT(TIMEVALUE(_xlfn.TEXTAFTER(EST!G50," - "))+TIME(12,0,0),"hh:mm")),"OFF")</f>
        <v>OFF</v>
      </c>
      <c r="I50" t="str">
        <f t="shared" si="1"/>
        <v>Sat - Sun</v>
      </c>
      <c r="J50" s="38">
        <f>MOD(EST!J50+TIME(12,0,0),1)</f>
        <v>0.88541666666666674</v>
      </c>
      <c r="K50" s="38">
        <f>MOD(EST!K50+TIME(12,0,0),1)</f>
        <v>0.11458333333333348</v>
      </c>
      <c r="L50" s="38">
        <f>MOD(EST!L50+TIME(12,0,0),1)</f>
        <v>0.96875</v>
      </c>
      <c r="M50" s="38">
        <f>MOD(EST!M50+TIME(12,0,0),1)</f>
        <v>0.21875</v>
      </c>
      <c r="N50" t="str">
        <f>EST!N50</f>
        <v>Manilyn Abellar</v>
      </c>
    </row>
    <row r="51" spans="1:14" x14ac:dyDescent="0.25">
      <c r="A51" t="str">
        <f>EST!A51</f>
        <v>CLEENDY CERILLA</v>
      </c>
      <c r="B51" t="str">
        <f>IFERROR(IF(EST!H51="OFF",
IF(EST!B51="OFF","OFF",
IF(VALUE(LEFT(EST!B51,2))&lt;12,
TEXT(TIMEVALUE(_xlfn.TEXTBEFORE(EST!B51," - "))+TIME(12,0,0),"hh:mm")
&amp;" - "&amp;
TEXT(TIMEVALUE(_xlfn.TEXTAFTER(EST!B51," - "))+TIME(12,0,0),"hh:mm"),
"OFF")),
IF(VALUE(LEFT(EST!H51,2))&gt;=12,
TEXT(TIMEVALUE(_xlfn.TEXTBEFORE(EST!H51," - "))+TIME(12,0,0),"hh:mm")
&amp;" - "&amp;
TEXT(TIMEVALUE(_xlfn.TEXTAFTER(EST!H51," - "))+TIME(12,0,0),"hh:mm"),
"OFF")),"OFF")</f>
        <v>19:30 - 06:30</v>
      </c>
      <c r="C51" t="str">
        <f>IFERROR(IF(AND(EST!B51&lt;&gt;"OFF",VALUE(LEFT(EST!B51,2))&gt;=12),
TEXT(TIMEVALUE(_xlfn.TEXTBEFORE(EST!B51," - "))+TIME(12,0,0),"hh:mm")
&amp; " - " &amp;
TEXT(TIMEVALUE(_xlfn.TEXTAFTER(EST!B51," - "))+TIME(12,0,0),"hh:mm"),
IF(AND(EST!C51&lt;&gt;"OFF",VALUE(LEFT(EST!C51,2))&lt;12),
TEXT(TIMEVALUE(_xlfn.TEXTBEFORE(EST!C51," - "))+TIME(12,0,0),"hh:mm")
&amp; " - " &amp;
TEXT(TIMEVALUE(_xlfn.TEXTAFTER(EST!C51," - "))+TIME(12,0,0),"hh:mm"),
"OFF")),"OFF")</f>
        <v>19:30 - 06:30</v>
      </c>
      <c r="D51" t="str">
        <f>IFERROR(IF(AND(EST!C51&lt;&gt;"OFF",VALUE(LEFT(EST!C51,2))&gt;=12),
TEXT(TIMEVALUE(_xlfn.TEXTBEFORE(EST!C51," - "))+TIME(12,0,0),"hh:mm")
&amp; " - " &amp;
TEXT(TIMEVALUE(_xlfn.TEXTAFTER(EST!C51," - "))+TIME(12,0,0),"hh:mm"),
IF(AND(EST!D51&lt;&gt;"OFF",VALUE(LEFT(EST!D51,2))&lt;12),
TEXT(TIMEVALUE(_xlfn.TEXTBEFORE(EST!D51," - "))+TIME(12,0,0),"hh:mm")
&amp; " - " &amp;
TEXT(TIMEVALUE(_xlfn.TEXTAFTER(EST!D51," - "))+TIME(12,0,0),"hh:mm"),
"OFF")),"OFF")</f>
        <v>19:30 - 06:30</v>
      </c>
      <c r="E51" t="str">
        <f>IFERROR(IF(AND(EST!D51&lt;&gt;"OFF",VALUE(LEFT(EST!D51,2))&gt;=12),
TEXT(TIMEVALUE(_xlfn.TEXTBEFORE(EST!D51," - "))+TIME(12,0,0),"hh:mm")
&amp; " - " &amp;
TEXT(TIMEVALUE(_xlfn.TEXTAFTER(EST!D51," - "))+TIME(12,0,0),"hh:mm"),
IF(AND(EST!E51&lt;&gt;"OFF",VALUE(LEFT(EST!E51,2))&lt;12),
TEXT(TIMEVALUE(_xlfn.TEXTBEFORE(EST!E51," - "))+TIME(12,0,0),"hh:mm")
&amp; " - " &amp;
TEXT(TIMEVALUE(_xlfn.TEXTAFTER(EST!E51," - "))+TIME(12,0,0),"hh:mm"),
"OFF")),"OFF")</f>
        <v>19:30 - 06:30</v>
      </c>
      <c r="F51" t="str">
        <f>IFERROR(IF(EST!E51="OFF",
IF(EST!F51="OFF","OFF",
IF(VALUE(LEFT(EST!F51,2))&lt;12,
TEXT(TIMEVALUE(_xlfn.TEXTBEFORE(EST!F51," - "))+TIME(12,0,0),"hh:mm")
&amp; " - " &amp;
TEXT(TIMEVALUE(_xlfn.TEXTAFTER(EST!F51," - "))+TIME(12,0,0),"hh:mm"),
"OFF")),
TEXT(TIMEVALUE(_xlfn.TEXTBEFORE(EST!E51," - "))+TIME(12,0,0),"hh:mm")
&amp; " - " &amp;
TEXT(TIMEVALUE(_xlfn.TEXTAFTER(EST!E51," - "))+TIME(12,0,0),"hh:mm")),"OFF")</f>
        <v>19:30 - 06:30</v>
      </c>
      <c r="G51" t="str">
        <f>IFERROR(IF(EST!F51="OFF",
IF(EST!G51="OFF","OFF",
IF(VALUE(LEFT(EST!G51,2))&lt;12,
TEXT(TIMEVALUE(_xlfn.TEXTBEFORE(EST!G51," - "))+TIME(12,0,0),"hh:mm")
&amp; " - " &amp;
TEXT(TIMEVALUE(_xlfn.TEXTAFTER(EST!G51," - "))+TIME(12,0,0),"hh:mm"),
"OFF")),
TEXT(TIMEVALUE(_xlfn.TEXTBEFORE(EST!F51," - "))+TIME(12,0,0),"hh:mm")
&amp; " - " &amp;
TEXT(TIMEVALUE(_xlfn.TEXTAFTER(EST!F51," - "))+TIME(12,0,0),"hh:mm")),"OFF")</f>
        <v>OFF</v>
      </c>
      <c r="H51" t="str">
        <f>IFERROR(IF(EST!G51="OFF",
IF(EST!H51="OFF","OFF",
IF(VALUE(LEFT(EST!H51,2))&lt;12,
TEXT(TIMEVALUE(_xlfn.TEXTBEFORE(EST!H51," - "))+TIME(12,0,0),"hh:mm")
&amp; " - " &amp;
TEXT(TIMEVALUE(_xlfn.TEXTAFTER(EST!H51," - "))+TIME(12,0,0),"hh:mm"),
"OFF")),
TEXT(TIMEVALUE(_xlfn.TEXTBEFORE(EST!G51," - "))+TIME(12,0,0),"hh:mm")
&amp; " - " &amp;
TEXT(TIMEVALUE(_xlfn.TEXTAFTER(EST!G51," - "))+TIME(12,0,0),"hh:mm")),"OFF")</f>
        <v>OFF</v>
      </c>
      <c r="I51" t="str">
        <f t="shared" si="1"/>
        <v>Sat - Sun</v>
      </c>
      <c r="J51" s="38">
        <f>MOD(EST!J51+TIME(12,0,0),1)</f>
        <v>0.89583333333333326</v>
      </c>
      <c r="K51" s="38">
        <f>MOD(EST!K51+TIME(12,0,0),1)</f>
        <v>0.10416666666666652</v>
      </c>
      <c r="L51" s="38">
        <f>MOD(EST!L51+TIME(12,0,0),1)</f>
        <v>0.97916666666666674</v>
      </c>
      <c r="M51" s="38">
        <f>MOD(EST!M51+TIME(12,0,0),1)</f>
        <v>0.22916666666666652</v>
      </c>
      <c r="N51" t="str">
        <f>EST!N51</f>
        <v>Christopher Rodas</v>
      </c>
    </row>
    <row r="52" spans="1:14" x14ac:dyDescent="0.25">
      <c r="A52" t="str">
        <f>EST!A52</f>
        <v>ROY SAGALES</v>
      </c>
      <c r="B52" t="str">
        <f>IFERROR(IF(EST!H52="OFF",
IF(EST!B52="OFF","OFF",
IF(VALUE(LEFT(EST!B52,2))&lt;12,
TEXT(TIMEVALUE(_xlfn.TEXTBEFORE(EST!B52," - "))+TIME(12,0,0),"hh:mm")
&amp;" - "&amp;
TEXT(TIMEVALUE(_xlfn.TEXTAFTER(EST!B52," - "))+TIME(12,0,0),"hh:mm"),
"OFF")),
IF(VALUE(LEFT(EST!H52,2))&gt;=12,
TEXT(TIMEVALUE(_xlfn.TEXTBEFORE(EST!H52," - "))+TIME(12,0,0),"hh:mm")
&amp;" - "&amp;
TEXT(TIMEVALUE(_xlfn.TEXTAFTER(EST!H52," - "))+TIME(12,0,0),"hh:mm"),
"OFF")),"OFF")</f>
        <v>OFF</v>
      </c>
      <c r="C52" t="str">
        <f>IFERROR(IF(AND(EST!B52&lt;&gt;"OFF",VALUE(LEFT(EST!B52,2))&gt;=12),
TEXT(TIMEVALUE(_xlfn.TEXTBEFORE(EST!B52," - "))+TIME(12,0,0),"hh:mm")
&amp; " - " &amp;
TEXT(TIMEVALUE(_xlfn.TEXTAFTER(EST!B52," - "))+TIME(12,0,0),"hh:mm"),
IF(AND(EST!C52&lt;&gt;"OFF",VALUE(LEFT(EST!C52,2))&lt;12),
TEXT(TIMEVALUE(_xlfn.TEXTBEFORE(EST!C52," - "))+TIME(12,0,0),"hh:mm")
&amp; " - " &amp;
TEXT(TIMEVALUE(_xlfn.TEXTAFTER(EST!C52," - "))+TIME(12,0,0),"hh:mm"),
"OFF")),"OFF")</f>
        <v>19:00 - 06:00</v>
      </c>
      <c r="D52" t="str">
        <f>IFERROR(IF(AND(EST!C52&lt;&gt;"OFF",VALUE(LEFT(EST!C52,2))&gt;=12),
TEXT(TIMEVALUE(_xlfn.TEXTBEFORE(EST!C52," - "))+TIME(12,0,0),"hh:mm")
&amp; " - " &amp;
TEXT(TIMEVALUE(_xlfn.TEXTAFTER(EST!C52," - "))+TIME(12,0,0),"hh:mm"),
IF(AND(EST!D52&lt;&gt;"OFF",VALUE(LEFT(EST!D52,2))&lt;12),
TEXT(TIMEVALUE(_xlfn.TEXTBEFORE(EST!D52," - "))+TIME(12,0,0),"hh:mm")
&amp; " - " &amp;
TEXT(TIMEVALUE(_xlfn.TEXTAFTER(EST!D52," - "))+TIME(12,0,0),"hh:mm"),
"OFF")),"OFF")</f>
        <v>OFF</v>
      </c>
      <c r="E52" t="str">
        <f>IFERROR(IF(AND(EST!D52&lt;&gt;"OFF",VALUE(LEFT(EST!D52,2))&gt;=12),
TEXT(TIMEVALUE(_xlfn.TEXTBEFORE(EST!D52," - "))+TIME(12,0,0),"hh:mm")
&amp; " - " &amp;
TEXT(TIMEVALUE(_xlfn.TEXTAFTER(EST!D52," - "))+TIME(12,0,0),"hh:mm"),
IF(AND(EST!E52&lt;&gt;"OFF",VALUE(LEFT(EST!E52,2))&lt;12),
TEXT(TIMEVALUE(_xlfn.TEXTBEFORE(EST!E52," - "))+TIME(12,0,0),"hh:mm")
&amp; " - " &amp;
TEXT(TIMEVALUE(_xlfn.TEXTAFTER(EST!E52," - "))+TIME(12,0,0),"hh:mm"),
"OFF")),"OFF")</f>
        <v>OFF</v>
      </c>
      <c r="F52" t="str">
        <f>IFERROR(IF(EST!E52="OFF",
IF(EST!F52="OFF","OFF",
IF(VALUE(LEFT(EST!F52,2))&lt;12,
TEXT(TIMEVALUE(_xlfn.TEXTBEFORE(EST!F52," - "))+TIME(12,0,0),"hh:mm")
&amp; " - " &amp;
TEXT(TIMEVALUE(_xlfn.TEXTAFTER(EST!F52," - "))+TIME(12,0,0),"hh:mm"),
"OFF")),
TEXT(TIMEVALUE(_xlfn.TEXTBEFORE(EST!E52," - "))+TIME(12,0,0),"hh:mm")
&amp; " - " &amp;
TEXT(TIMEVALUE(_xlfn.TEXTAFTER(EST!E52," - "))+TIME(12,0,0),"hh:mm")),"OFF")</f>
        <v>OFF</v>
      </c>
      <c r="G52" t="str">
        <f>IFERROR(IF(EST!F52="OFF",
IF(EST!G52="OFF","OFF",
IF(VALUE(LEFT(EST!G52,2))&lt;12,
TEXT(TIMEVALUE(_xlfn.TEXTBEFORE(EST!G52," - "))+TIME(12,0,0),"hh:mm")
&amp; " - " &amp;
TEXT(TIMEVALUE(_xlfn.TEXTAFTER(EST!G52," - "))+TIME(12,0,0),"hh:mm"),
"OFF")),
TEXT(TIMEVALUE(_xlfn.TEXTBEFORE(EST!F52," - "))+TIME(12,0,0),"hh:mm")
&amp; " - " &amp;
TEXT(TIMEVALUE(_xlfn.TEXTAFTER(EST!F52," - "))+TIME(12,0,0),"hh:mm")),"OFF")</f>
        <v>19:00 - 06:00</v>
      </c>
      <c r="H52" t="str">
        <f>IFERROR(IF(EST!G52="OFF",
IF(EST!H52="OFF","OFF",
IF(VALUE(LEFT(EST!H52,2))&lt;12,
TEXT(TIMEVALUE(_xlfn.TEXTBEFORE(EST!H52," - "))+TIME(12,0,0),"hh:mm")
&amp; " - " &amp;
TEXT(TIMEVALUE(_xlfn.TEXTAFTER(EST!H52," - "))+TIME(12,0,0),"hh:mm"),
"OFF")),
TEXT(TIMEVALUE(_xlfn.TEXTBEFORE(EST!G52," - "))+TIME(12,0,0),"hh:mm")
&amp; " - " &amp;
TEXT(TIMEVALUE(_xlfn.TEXTAFTER(EST!G52," - "))+TIME(12,0,0),"hh:mm")),"OFF")</f>
        <v>19:00 - 06:00</v>
      </c>
      <c r="I52" t="str">
        <f t="shared" si="1"/>
        <v>Mon - Wed - Thu - Fri</v>
      </c>
      <c r="J52" s="38">
        <f>MOD(EST!J52+TIME(12,0,0),1)</f>
        <v>0.86458333333333326</v>
      </c>
      <c r="K52" s="38">
        <f>MOD(EST!K52+TIME(12,0,0),1)</f>
        <v>7.2916666666666519E-2</v>
      </c>
      <c r="L52" s="38">
        <f>MOD(EST!L52+TIME(12,0,0),1)</f>
        <v>0.94791666666666674</v>
      </c>
      <c r="M52" s="38">
        <f>MOD(EST!M52+TIME(12,0,0),1)</f>
        <v>0.17708333333333348</v>
      </c>
      <c r="N52" t="str">
        <f>EST!N52</f>
        <v>Michael Dominguez</v>
      </c>
    </row>
    <row r="53" spans="1:14" x14ac:dyDescent="0.25">
      <c r="A53" t="str">
        <f>EST!A53</f>
        <v>SHIELA MAE LAROA</v>
      </c>
      <c r="B53" t="str">
        <f>IFERROR(IF(EST!H53="OFF",
IF(EST!B53="OFF","OFF",
IF(VALUE(LEFT(EST!B53,2))&lt;12,
TEXT(TIMEVALUE(_xlfn.TEXTBEFORE(EST!B53," - "))+TIME(12,0,0),"hh:mm")
&amp;" - "&amp;
TEXT(TIMEVALUE(_xlfn.TEXTAFTER(EST!B53," - "))+TIME(12,0,0),"hh:mm"),
"OFF")),
IF(VALUE(LEFT(EST!H53,2))&gt;=12,
TEXT(TIMEVALUE(_xlfn.TEXTBEFORE(EST!H53," - "))+TIME(12,0,0),"hh:mm")
&amp;" - "&amp;
TEXT(TIMEVALUE(_xlfn.TEXTAFTER(EST!H53," - "))+TIME(12,0,0),"hh:mm"),
"OFF")),"OFF")</f>
        <v>19:00 - 06:00</v>
      </c>
      <c r="C53" t="str">
        <f>IFERROR(IF(AND(EST!B53&lt;&gt;"OFF",VALUE(LEFT(EST!B53,2))&gt;=12),
TEXT(TIMEVALUE(_xlfn.TEXTBEFORE(EST!B53," - "))+TIME(12,0,0),"hh:mm")
&amp; " - " &amp;
TEXT(TIMEVALUE(_xlfn.TEXTAFTER(EST!B53," - "))+TIME(12,0,0),"hh:mm"),
IF(AND(EST!C53&lt;&gt;"OFF",VALUE(LEFT(EST!C53,2))&lt;12),
TEXT(TIMEVALUE(_xlfn.TEXTBEFORE(EST!C53," - "))+TIME(12,0,0),"hh:mm")
&amp; " - " &amp;
TEXT(TIMEVALUE(_xlfn.TEXTAFTER(EST!C53," - "))+TIME(12,0,0),"hh:mm"),
"OFF")),"OFF")</f>
        <v>19:00 - 06:00</v>
      </c>
      <c r="D53" t="str">
        <f>IFERROR(IF(AND(EST!C53&lt;&gt;"OFF",VALUE(LEFT(EST!C53,2))&gt;=12),
TEXT(TIMEVALUE(_xlfn.TEXTBEFORE(EST!C53," - "))+TIME(12,0,0),"hh:mm")
&amp; " - " &amp;
TEXT(TIMEVALUE(_xlfn.TEXTAFTER(EST!C53," - "))+TIME(12,0,0),"hh:mm"),
IF(AND(EST!D53&lt;&gt;"OFF",VALUE(LEFT(EST!D53,2))&lt;12),
TEXT(TIMEVALUE(_xlfn.TEXTBEFORE(EST!D53," - "))+TIME(12,0,0),"hh:mm")
&amp; " - " &amp;
TEXT(TIMEVALUE(_xlfn.TEXTAFTER(EST!D53," - "))+TIME(12,0,0),"hh:mm"),
"OFF")),"OFF")</f>
        <v>19:00 - 06:00</v>
      </c>
      <c r="E53" t="str">
        <f>IFERROR(IF(AND(EST!D53&lt;&gt;"OFF",VALUE(LEFT(EST!D53,2))&gt;=12),
TEXT(TIMEVALUE(_xlfn.TEXTBEFORE(EST!D53," - "))+TIME(12,0,0),"hh:mm")
&amp; " - " &amp;
TEXT(TIMEVALUE(_xlfn.TEXTAFTER(EST!D53," - "))+TIME(12,0,0),"hh:mm"),
IF(AND(EST!E53&lt;&gt;"OFF",VALUE(LEFT(EST!E53,2))&lt;12),
TEXT(TIMEVALUE(_xlfn.TEXTBEFORE(EST!E53," - "))+TIME(12,0,0),"hh:mm")
&amp; " - " &amp;
TEXT(TIMEVALUE(_xlfn.TEXTAFTER(EST!E53," - "))+TIME(12,0,0),"hh:mm"),
"OFF")),"OFF")</f>
        <v>19:00 - 06:00</v>
      </c>
      <c r="F53" t="str">
        <f>IFERROR(IF(EST!E53="OFF",
IF(EST!F53="OFF","OFF",
IF(VALUE(LEFT(EST!F53,2))&lt;12,
TEXT(TIMEVALUE(_xlfn.TEXTBEFORE(EST!F53," - "))+TIME(12,0,0),"hh:mm")
&amp; " - " &amp;
TEXT(TIMEVALUE(_xlfn.TEXTAFTER(EST!F53," - "))+TIME(12,0,0),"hh:mm"),
"OFF")),
TEXT(TIMEVALUE(_xlfn.TEXTBEFORE(EST!E53," - "))+TIME(12,0,0),"hh:mm")
&amp; " - " &amp;
TEXT(TIMEVALUE(_xlfn.TEXTAFTER(EST!E53," - "))+TIME(12,0,0),"hh:mm")),"OFF")</f>
        <v>19:00 - 06:00</v>
      </c>
      <c r="G53" t="str">
        <f>IFERROR(IF(EST!F53="OFF",
IF(EST!G53="OFF","OFF",
IF(VALUE(LEFT(EST!G53,2))&lt;12,
TEXT(TIMEVALUE(_xlfn.TEXTBEFORE(EST!G53," - "))+TIME(12,0,0),"hh:mm")
&amp; " - " &amp;
TEXT(TIMEVALUE(_xlfn.TEXTAFTER(EST!G53," - "))+TIME(12,0,0),"hh:mm"),
"OFF")),
TEXT(TIMEVALUE(_xlfn.TEXTBEFORE(EST!F53," - "))+TIME(12,0,0),"hh:mm")
&amp; " - " &amp;
TEXT(TIMEVALUE(_xlfn.TEXTAFTER(EST!F53," - "))+TIME(12,0,0),"hh:mm")),"OFF")</f>
        <v>OFF</v>
      </c>
      <c r="H53" t="str">
        <f>IFERROR(IF(EST!G53="OFF",
IF(EST!H53="OFF","OFF",
IF(VALUE(LEFT(EST!H53,2))&lt;12,
TEXT(TIMEVALUE(_xlfn.TEXTBEFORE(EST!H53," - "))+TIME(12,0,0),"hh:mm")
&amp; " - " &amp;
TEXT(TIMEVALUE(_xlfn.TEXTAFTER(EST!H53," - "))+TIME(12,0,0),"hh:mm"),
"OFF")),
TEXT(TIMEVALUE(_xlfn.TEXTBEFORE(EST!G53," - "))+TIME(12,0,0),"hh:mm")
&amp; " - " &amp;
TEXT(TIMEVALUE(_xlfn.TEXTAFTER(EST!G53," - "))+TIME(12,0,0),"hh:mm")),"OFF")</f>
        <v>OFF</v>
      </c>
      <c r="I53" t="str">
        <f t="shared" si="1"/>
        <v>Sat - Sun</v>
      </c>
      <c r="J53" s="38">
        <f>MOD(EST!J53+TIME(12,0,0),1)</f>
        <v>0.875</v>
      </c>
      <c r="K53" s="38">
        <f>MOD(EST!K53+TIME(12,0,0),1)</f>
        <v>0.97916666666666674</v>
      </c>
      <c r="L53" s="38">
        <f>MOD(EST!L53+TIME(12,0,0),1)</f>
        <v>8.3333333333333481E-2</v>
      </c>
      <c r="M53" s="38">
        <f>MOD(EST!M53+TIME(12,0,0),1)</f>
        <v>0.17708333333333348</v>
      </c>
      <c r="N53" t="str">
        <f>EST!N53</f>
        <v>Manilyn Abellar</v>
      </c>
    </row>
    <row r="54" spans="1:14" x14ac:dyDescent="0.25">
      <c r="A54" t="str">
        <f>EST!A54</f>
        <v>GISELLE FLORENDO</v>
      </c>
      <c r="B54" t="str">
        <f>IFERROR(IF(EST!H54="OFF",
IF(EST!B54="OFF","OFF",
IF(VALUE(LEFT(EST!B54,2))&lt;12,
TEXT(TIMEVALUE(_xlfn.TEXTBEFORE(EST!B54," - "))+TIME(12,0,0),"hh:mm")
&amp;" - "&amp;
TEXT(TIMEVALUE(_xlfn.TEXTAFTER(EST!B54," - "))+TIME(12,0,0),"hh:mm"),
"OFF")),
IF(VALUE(LEFT(EST!H54,2))&gt;=12,
TEXT(TIMEVALUE(_xlfn.TEXTBEFORE(EST!H54," - "))+TIME(12,0,0),"hh:mm")
&amp;" - "&amp;
TEXT(TIMEVALUE(_xlfn.TEXTAFTER(EST!H54," - "))+TIME(12,0,0),"hh:mm"),
"OFF")),"OFF")</f>
        <v>18:00 - 05:00</v>
      </c>
      <c r="C54" t="str">
        <f>IFERROR(IF(AND(EST!B54&lt;&gt;"OFF",VALUE(LEFT(EST!B54,2))&gt;=12),
TEXT(TIMEVALUE(_xlfn.TEXTBEFORE(EST!B54," - "))+TIME(12,0,0),"hh:mm")
&amp; " - " &amp;
TEXT(TIMEVALUE(_xlfn.TEXTAFTER(EST!B54," - "))+TIME(12,0,0),"hh:mm"),
IF(AND(EST!C54&lt;&gt;"OFF",VALUE(LEFT(EST!C54,2))&lt;12),
TEXT(TIMEVALUE(_xlfn.TEXTBEFORE(EST!C54," - "))+TIME(12,0,0),"hh:mm")
&amp; " - " &amp;
TEXT(TIMEVALUE(_xlfn.TEXTAFTER(EST!C54," - "))+TIME(12,0,0),"hh:mm"),
"OFF")),"OFF")</f>
        <v>18:00 - 05:00</v>
      </c>
      <c r="D54" t="str">
        <f>IFERROR(IF(AND(EST!C54&lt;&gt;"OFF",VALUE(LEFT(EST!C54,2))&gt;=12),
TEXT(TIMEVALUE(_xlfn.TEXTBEFORE(EST!C54," - "))+TIME(12,0,0),"hh:mm")
&amp; " - " &amp;
TEXT(TIMEVALUE(_xlfn.TEXTAFTER(EST!C54," - "))+TIME(12,0,0),"hh:mm"),
IF(AND(EST!D54&lt;&gt;"OFF",VALUE(LEFT(EST!D54,2))&lt;12),
TEXT(TIMEVALUE(_xlfn.TEXTBEFORE(EST!D54," - "))+TIME(12,0,0),"hh:mm")
&amp; " - " &amp;
TEXT(TIMEVALUE(_xlfn.TEXTAFTER(EST!D54," - "))+TIME(12,0,0),"hh:mm"),
"OFF")),"OFF")</f>
        <v>18:00 - 05:00</v>
      </c>
      <c r="E54" t="str">
        <f>IFERROR(IF(AND(EST!D54&lt;&gt;"OFF",VALUE(LEFT(EST!D54,2))&gt;=12),
TEXT(TIMEVALUE(_xlfn.TEXTBEFORE(EST!D54," - "))+TIME(12,0,0),"hh:mm")
&amp; " - " &amp;
TEXT(TIMEVALUE(_xlfn.TEXTAFTER(EST!D54," - "))+TIME(12,0,0),"hh:mm"),
IF(AND(EST!E54&lt;&gt;"OFF",VALUE(LEFT(EST!E54,2))&lt;12),
TEXT(TIMEVALUE(_xlfn.TEXTBEFORE(EST!E54," - "))+TIME(12,0,0),"hh:mm")
&amp; " - " &amp;
TEXT(TIMEVALUE(_xlfn.TEXTAFTER(EST!E54," - "))+TIME(12,0,0),"hh:mm"),
"OFF")),"OFF")</f>
        <v>18:00 - 05:00</v>
      </c>
      <c r="F54" t="str">
        <f>IFERROR(IF(EST!E54="OFF",
IF(EST!F54="OFF","OFF",
IF(VALUE(LEFT(EST!F54,2))&lt;12,
TEXT(TIMEVALUE(_xlfn.TEXTBEFORE(EST!F54," - "))+TIME(12,0,0),"hh:mm")
&amp; " - " &amp;
TEXT(TIMEVALUE(_xlfn.TEXTAFTER(EST!F54," - "))+TIME(12,0,0),"hh:mm"),
"OFF")),
TEXT(TIMEVALUE(_xlfn.TEXTBEFORE(EST!E54," - "))+TIME(12,0,0),"hh:mm")
&amp; " - " &amp;
TEXT(TIMEVALUE(_xlfn.TEXTAFTER(EST!E54," - "))+TIME(12,0,0),"hh:mm")),"OFF")</f>
        <v>18:00 - 05:00</v>
      </c>
      <c r="G54" t="str">
        <f>IFERROR(IF(EST!F54="OFF",
IF(EST!G54="OFF","OFF",
IF(VALUE(LEFT(EST!G54,2))&lt;12,
TEXT(TIMEVALUE(_xlfn.TEXTBEFORE(EST!G54," - "))+TIME(12,0,0),"hh:mm")
&amp; " - " &amp;
TEXT(TIMEVALUE(_xlfn.TEXTAFTER(EST!G54," - "))+TIME(12,0,0),"hh:mm"),
"OFF")),
TEXT(TIMEVALUE(_xlfn.TEXTBEFORE(EST!F54," - "))+TIME(12,0,0),"hh:mm")
&amp; " - " &amp;
TEXT(TIMEVALUE(_xlfn.TEXTAFTER(EST!F54," - "))+TIME(12,0,0),"hh:mm")),"OFF")</f>
        <v>OFF</v>
      </c>
      <c r="H54" t="str">
        <f>IFERROR(IF(EST!G54="OFF",
IF(EST!H54="OFF","OFF",
IF(VALUE(LEFT(EST!H54,2))&lt;12,
TEXT(TIMEVALUE(_xlfn.TEXTBEFORE(EST!H54," - "))+TIME(12,0,0),"hh:mm")
&amp; " - " &amp;
TEXT(TIMEVALUE(_xlfn.TEXTAFTER(EST!H54," - "))+TIME(12,0,0),"hh:mm"),
"OFF")),
TEXT(TIMEVALUE(_xlfn.TEXTBEFORE(EST!G54," - "))+TIME(12,0,0),"hh:mm")
&amp; " - " &amp;
TEXT(TIMEVALUE(_xlfn.TEXTAFTER(EST!G54," - "))+TIME(12,0,0),"hh:mm")),"OFF")</f>
        <v>OFF</v>
      </c>
      <c r="I54" t="str">
        <f t="shared" si="1"/>
        <v>Sat - Sun</v>
      </c>
      <c r="J54" s="38">
        <f>MOD(EST!J54+TIME(12,0,0),1)</f>
        <v>0.84375</v>
      </c>
      <c r="K54" s="38">
        <f>MOD(EST!K54+TIME(12,0,0),1)</f>
        <v>6.25E-2</v>
      </c>
      <c r="L54" s="38">
        <f>MOD(EST!L54+TIME(12,0,0),1)</f>
        <v>0.9375</v>
      </c>
      <c r="M54" s="38">
        <f>MOD(EST!M54+TIME(12,0,0),1)</f>
        <v>0.15625</v>
      </c>
      <c r="N54" t="str">
        <f>EST!N54</f>
        <v>Remmo Panaligan</v>
      </c>
    </row>
    <row r="55" spans="1:14" x14ac:dyDescent="0.25">
      <c r="A55" t="str">
        <f>EST!A55</f>
        <v>JOEMIE ANN BENEDICTO</v>
      </c>
      <c r="B55" t="str">
        <f>IFERROR(IF(EST!H55="OFF",
IF(EST!B55="OFF","OFF",
IF(VALUE(LEFT(EST!B55,2))&lt;12,
TEXT(TIMEVALUE(_xlfn.TEXTBEFORE(EST!B55," - "))+TIME(12,0,0),"hh:mm")
&amp;" - "&amp;
TEXT(TIMEVALUE(_xlfn.TEXTAFTER(EST!B55," - "))+TIME(12,0,0),"hh:mm"),
"OFF")),
IF(VALUE(LEFT(EST!H55,2))&gt;=12,
TEXT(TIMEVALUE(_xlfn.TEXTBEFORE(EST!H55," - "))+TIME(12,0,0),"hh:mm")
&amp;" - "&amp;
TEXT(TIMEVALUE(_xlfn.TEXTAFTER(EST!H55," - "))+TIME(12,0,0),"hh:mm"),
"OFF")),"OFF")</f>
        <v>18:00 - 05:00</v>
      </c>
      <c r="C55" t="str">
        <f>IFERROR(IF(AND(EST!B55&lt;&gt;"OFF",VALUE(LEFT(EST!B55,2))&gt;=12),
TEXT(TIMEVALUE(_xlfn.TEXTBEFORE(EST!B55," - "))+TIME(12,0,0),"hh:mm")
&amp; " - " &amp;
TEXT(TIMEVALUE(_xlfn.TEXTAFTER(EST!B55," - "))+TIME(12,0,0),"hh:mm"),
IF(AND(EST!C55&lt;&gt;"OFF",VALUE(LEFT(EST!C55,2))&lt;12),
TEXT(TIMEVALUE(_xlfn.TEXTBEFORE(EST!C55," - "))+TIME(12,0,0),"hh:mm")
&amp; " - " &amp;
TEXT(TIMEVALUE(_xlfn.TEXTAFTER(EST!C55," - "))+TIME(12,0,0),"hh:mm"),
"OFF")),"OFF")</f>
        <v>18:00 - 05:00</v>
      </c>
      <c r="D55" t="str">
        <f>IFERROR(IF(AND(EST!C55&lt;&gt;"OFF",VALUE(LEFT(EST!C55,2))&gt;=12),
TEXT(TIMEVALUE(_xlfn.TEXTBEFORE(EST!C55," - "))+TIME(12,0,0),"hh:mm")
&amp; " - " &amp;
TEXT(TIMEVALUE(_xlfn.TEXTAFTER(EST!C55," - "))+TIME(12,0,0),"hh:mm"),
IF(AND(EST!D55&lt;&gt;"OFF",VALUE(LEFT(EST!D55,2))&lt;12),
TEXT(TIMEVALUE(_xlfn.TEXTBEFORE(EST!D55," - "))+TIME(12,0,0),"hh:mm")
&amp; " - " &amp;
TEXT(TIMEVALUE(_xlfn.TEXTAFTER(EST!D55," - "))+TIME(12,0,0),"hh:mm"),
"OFF")),"OFF")</f>
        <v>18:00 - 05:00</v>
      </c>
      <c r="E55" t="str">
        <f>IFERROR(IF(AND(EST!D55&lt;&gt;"OFF",VALUE(LEFT(EST!D55,2))&gt;=12),
TEXT(TIMEVALUE(_xlfn.TEXTBEFORE(EST!D55," - "))+TIME(12,0,0),"hh:mm")
&amp; " - " &amp;
TEXT(TIMEVALUE(_xlfn.TEXTAFTER(EST!D55," - "))+TIME(12,0,0),"hh:mm"),
IF(AND(EST!E55&lt;&gt;"OFF",VALUE(LEFT(EST!E55,2))&lt;12),
TEXT(TIMEVALUE(_xlfn.TEXTBEFORE(EST!E55," - "))+TIME(12,0,0),"hh:mm")
&amp; " - " &amp;
TEXT(TIMEVALUE(_xlfn.TEXTAFTER(EST!E55," - "))+TIME(12,0,0),"hh:mm"),
"OFF")),"OFF")</f>
        <v>18:00 - 05:00</v>
      </c>
      <c r="F55" t="str">
        <f>IFERROR(IF(EST!E55="OFF",
IF(EST!F55="OFF","OFF",
IF(VALUE(LEFT(EST!F55,2))&lt;12,
TEXT(TIMEVALUE(_xlfn.TEXTBEFORE(EST!F55," - "))+TIME(12,0,0),"hh:mm")
&amp; " - " &amp;
TEXT(TIMEVALUE(_xlfn.TEXTAFTER(EST!F55," - "))+TIME(12,0,0),"hh:mm"),
"OFF")),
TEXT(TIMEVALUE(_xlfn.TEXTBEFORE(EST!E55," - "))+TIME(12,0,0),"hh:mm")
&amp; " - " &amp;
TEXT(TIMEVALUE(_xlfn.TEXTAFTER(EST!E55," - "))+TIME(12,0,0),"hh:mm")),"OFF")</f>
        <v>18:00 - 05:00</v>
      </c>
      <c r="G55" t="str">
        <f>IFERROR(IF(EST!F55="OFF",
IF(EST!G55="OFF","OFF",
IF(VALUE(LEFT(EST!G55,2))&lt;12,
TEXT(TIMEVALUE(_xlfn.TEXTBEFORE(EST!G55," - "))+TIME(12,0,0),"hh:mm")
&amp; " - " &amp;
TEXT(TIMEVALUE(_xlfn.TEXTAFTER(EST!G55," - "))+TIME(12,0,0),"hh:mm"),
"OFF")),
TEXT(TIMEVALUE(_xlfn.TEXTBEFORE(EST!F55," - "))+TIME(12,0,0),"hh:mm")
&amp; " - " &amp;
TEXT(TIMEVALUE(_xlfn.TEXTAFTER(EST!F55," - "))+TIME(12,0,0),"hh:mm")),"OFF")</f>
        <v>OFF</v>
      </c>
      <c r="H55" t="str">
        <f>IFERROR(IF(EST!G55="OFF",
IF(EST!H55="OFF","OFF",
IF(VALUE(LEFT(EST!H55,2))&lt;12,
TEXT(TIMEVALUE(_xlfn.TEXTBEFORE(EST!H55," - "))+TIME(12,0,0),"hh:mm")
&amp; " - " &amp;
TEXT(TIMEVALUE(_xlfn.TEXTAFTER(EST!H55," - "))+TIME(12,0,0),"hh:mm"),
"OFF")),
TEXT(TIMEVALUE(_xlfn.TEXTBEFORE(EST!G55," - "))+TIME(12,0,0),"hh:mm")
&amp; " - " &amp;
TEXT(TIMEVALUE(_xlfn.TEXTAFTER(EST!G55," - "))+TIME(12,0,0),"hh:mm")),"OFF")</f>
        <v>OFF</v>
      </c>
      <c r="I55" t="str">
        <f t="shared" si="1"/>
        <v>Sat - Sun</v>
      </c>
      <c r="J55" s="38">
        <f>MOD(EST!J55+TIME(12,0,0),1)</f>
        <v>0.83333333333333326</v>
      </c>
      <c r="K55" s="38">
        <f>MOD(EST!K55+TIME(12,0,0),1)</f>
        <v>5.2083333333333481E-2</v>
      </c>
      <c r="L55" s="38">
        <f>MOD(EST!L55+TIME(12,0,0),1)</f>
        <v>0.92708333333333326</v>
      </c>
      <c r="M55" s="38">
        <f>MOD(EST!M55+TIME(12,0,0),1)</f>
        <v>0.14583333333333348</v>
      </c>
      <c r="N55" t="str">
        <f>EST!N55</f>
        <v>Remmo Panaligan</v>
      </c>
    </row>
    <row r="56" spans="1:14" x14ac:dyDescent="0.25">
      <c r="A56" t="str">
        <f>EST!A56</f>
        <v>JACKYLEEN CABALLERO</v>
      </c>
      <c r="B56" t="str">
        <f>IFERROR(IF(EST!H56="OFF",
IF(EST!B56="OFF","OFF",
IF(VALUE(LEFT(EST!B56,2))&lt;12,
TEXT(TIMEVALUE(_xlfn.TEXTBEFORE(EST!B56," - "))+TIME(12,0,0),"hh:mm")
&amp;" - "&amp;
TEXT(TIMEVALUE(_xlfn.TEXTAFTER(EST!B56," - "))+TIME(12,0,0),"hh:mm"),
"OFF")),
IF(VALUE(LEFT(EST!H56,2))&gt;=12,
TEXT(TIMEVALUE(_xlfn.TEXTBEFORE(EST!H56," - "))+TIME(12,0,0),"hh:mm")
&amp;" - "&amp;
TEXT(TIMEVALUE(_xlfn.TEXTAFTER(EST!H56," - "))+TIME(12,0,0),"hh:mm"),
"OFF")),"OFF")</f>
        <v>OFF</v>
      </c>
      <c r="C56" t="str">
        <f>IFERROR(IF(AND(EST!B56&lt;&gt;"OFF",VALUE(LEFT(EST!B56,2))&gt;=12),
TEXT(TIMEVALUE(_xlfn.TEXTBEFORE(EST!B56," - "))+TIME(12,0,0),"hh:mm")
&amp; " - " &amp;
TEXT(TIMEVALUE(_xlfn.TEXTAFTER(EST!B56," - "))+TIME(12,0,0),"hh:mm"),
IF(AND(EST!C56&lt;&gt;"OFF",VALUE(LEFT(EST!C56,2))&lt;12),
TEXT(TIMEVALUE(_xlfn.TEXTBEFORE(EST!C56," - "))+TIME(12,0,0),"hh:mm")
&amp; " - " &amp;
TEXT(TIMEVALUE(_xlfn.TEXTAFTER(EST!C56," - "))+TIME(12,0,0),"hh:mm"),
"OFF")),"OFF")</f>
        <v>17:00 - 04:00</v>
      </c>
      <c r="D56" t="str">
        <f>IFERROR(IF(AND(EST!C56&lt;&gt;"OFF",VALUE(LEFT(EST!C56,2))&gt;=12),
TEXT(TIMEVALUE(_xlfn.TEXTBEFORE(EST!C56," - "))+TIME(12,0,0),"hh:mm")
&amp; " - " &amp;
TEXT(TIMEVALUE(_xlfn.TEXTAFTER(EST!C56," - "))+TIME(12,0,0),"hh:mm"),
IF(AND(EST!D56&lt;&gt;"OFF",VALUE(LEFT(EST!D56,2))&lt;12),
TEXT(TIMEVALUE(_xlfn.TEXTBEFORE(EST!D56," - "))+TIME(12,0,0),"hh:mm")
&amp; " - " &amp;
TEXT(TIMEVALUE(_xlfn.TEXTAFTER(EST!D56," - "))+TIME(12,0,0),"hh:mm"),
"OFF")),"OFF")</f>
        <v>17:00 - 04:00</v>
      </c>
      <c r="E56" t="str">
        <f>IFERROR(IF(AND(EST!D56&lt;&gt;"OFF",VALUE(LEFT(EST!D56,2))&gt;=12),
TEXT(TIMEVALUE(_xlfn.TEXTBEFORE(EST!D56," - "))+TIME(12,0,0),"hh:mm")
&amp; " - " &amp;
TEXT(TIMEVALUE(_xlfn.TEXTAFTER(EST!D56," - "))+TIME(12,0,0),"hh:mm"),
IF(AND(EST!E56&lt;&gt;"OFF",VALUE(LEFT(EST!E56,2))&lt;12),
TEXT(TIMEVALUE(_xlfn.TEXTBEFORE(EST!E56," - "))+TIME(12,0,0),"hh:mm")
&amp; " - " &amp;
TEXT(TIMEVALUE(_xlfn.TEXTAFTER(EST!E56," - "))+TIME(12,0,0),"hh:mm"),
"OFF")),"OFF")</f>
        <v>OFF</v>
      </c>
      <c r="F56" t="str">
        <f>IFERROR(IF(EST!E56="OFF",
IF(EST!F56="OFF","OFF",
IF(VALUE(LEFT(EST!F56,2))&lt;12,
TEXT(TIMEVALUE(_xlfn.TEXTBEFORE(EST!F56," - "))+TIME(12,0,0),"hh:mm")
&amp; " - " &amp;
TEXT(TIMEVALUE(_xlfn.TEXTAFTER(EST!F56," - "))+TIME(12,0,0),"hh:mm"),
"OFF")),
TEXT(TIMEVALUE(_xlfn.TEXTBEFORE(EST!E56," - "))+TIME(12,0,0),"hh:mm")
&amp; " - " &amp;
TEXT(TIMEVALUE(_xlfn.TEXTAFTER(EST!E56," - "))+TIME(12,0,0),"hh:mm")),"OFF")</f>
        <v>OFF</v>
      </c>
      <c r="G56" t="str">
        <f>IFERROR(IF(EST!F56="OFF",
IF(EST!G56="OFF","OFF",
IF(VALUE(LEFT(EST!G56,2))&lt;12,
TEXT(TIMEVALUE(_xlfn.TEXTBEFORE(EST!G56," - "))+TIME(12,0,0),"hh:mm")
&amp; " - " &amp;
TEXT(TIMEVALUE(_xlfn.TEXTAFTER(EST!G56," - "))+TIME(12,0,0),"hh:mm"),
"OFF")),
TEXT(TIMEVALUE(_xlfn.TEXTBEFORE(EST!F56," - "))+TIME(12,0,0),"hh:mm")
&amp; " - " &amp;
TEXT(TIMEVALUE(_xlfn.TEXTAFTER(EST!F56," - "))+TIME(12,0,0),"hh:mm")),"OFF")</f>
        <v>OFF</v>
      </c>
      <c r="H56" t="str">
        <f>IFERROR(IF(EST!G56="OFF",
IF(EST!H56="OFF","OFF",
IF(VALUE(LEFT(EST!H56,2))&lt;12,
TEXT(TIMEVALUE(_xlfn.TEXTBEFORE(EST!H56," - "))+TIME(12,0,0),"hh:mm")
&amp; " - " &amp;
TEXT(TIMEVALUE(_xlfn.TEXTAFTER(EST!H56," - "))+TIME(12,0,0),"hh:mm"),
"OFF")),
TEXT(TIMEVALUE(_xlfn.TEXTBEFORE(EST!G56," - "))+TIME(12,0,0),"hh:mm")
&amp; " - " &amp;
TEXT(TIMEVALUE(_xlfn.TEXTAFTER(EST!G56," - "))+TIME(12,0,0),"hh:mm")),"OFF")</f>
        <v>17:00 - 04:00</v>
      </c>
      <c r="I56" t="str">
        <f t="shared" si="1"/>
        <v>Mon - Thu - Fri - Sat</v>
      </c>
      <c r="J56" s="38">
        <f>MOD(EST!J56+TIME(12,0,0),1)</f>
        <v>0.80208333333333326</v>
      </c>
      <c r="K56" s="38">
        <f>MOD(EST!K56+TIME(12,0,0),1)</f>
        <v>4.1666666666666519E-2</v>
      </c>
      <c r="L56" s="38">
        <f>MOD(EST!L56+TIME(12,0,0),1)</f>
        <v>0.91666666666666674</v>
      </c>
      <c r="M56" s="38">
        <f>MOD(EST!M56+TIME(12,0,0),1)</f>
        <v>0.14583333333333348</v>
      </c>
      <c r="N56" t="str">
        <f>EST!N56</f>
        <v>Christopher Rodas</v>
      </c>
    </row>
    <row r="57" spans="1:14" x14ac:dyDescent="0.25">
      <c r="A57" t="str">
        <f>EST!A57</f>
        <v>MARK RAYMOND MANGASER</v>
      </c>
      <c r="B57" t="str">
        <f>IFERROR(IF(EST!H57="OFF",
IF(EST!B57="OFF","OFF",
IF(VALUE(LEFT(EST!B57,2))&lt;12,
TEXT(TIMEVALUE(_xlfn.TEXTBEFORE(EST!B57," - "))+TIME(12,0,0),"hh:mm")
&amp;" - "&amp;
TEXT(TIMEVALUE(_xlfn.TEXTAFTER(EST!B57," - "))+TIME(12,0,0),"hh:mm"),
"OFF")),
IF(VALUE(LEFT(EST!H57,2))&gt;=12,
TEXT(TIMEVALUE(_xlfn.TEXTBEFORE(EST!H57," - "))+TIME(12,0,0),"hh:mm")
&amp;" - "&amp;
TEXT(TIMEVALUE(_xlfn.TEXTAFTER(EST!H57," - "))+TIME(12,0,0),"hh:mm"),
"OFF")),"OFF")</f>
        <v>OFF</v>
      </c>
      <c r="C57" t="str">
        <f>IFERROR(IF(AND(EST!B57&lt;&gt;"OFF",VALUE(LEFT(EST!B57,2))&gt;=12),
TEXT(TIMEVALUE(_xlfn.TEXTBEFORE(EST!B57," - "))+TIME(12,0,0),"hh:mm")
&amp; " - " &amp;
TEXT(TIMEVALUE(_xlfn.TEXTAFTER(EST!B57," - "))+TIME(12,0,0),"hh:mm"),
IF(AND(EST!C57&lt;&gt;"OFF",VALUE(LEFT(EST!C57,2))&lt;12),
TEXT(TIMEVALUE(_xlfn.TEXTBEFORE(EST!C57," - "))+TIME(12,0,0),"hh:mm")
&amp; " - " &amp;
TEXT(TIMEVALUE(_xlfn.TEXTAFTER(EST!C57," - "))+TIME(12,0,0),"hh:mm"),
"OFF")),"OFF")</f>
        <v>17:00 - 04:00</v>
      </c>
      <c r="D57" t="str">
        <f>IFERROR(IF(AND(EST!C57&lt;&gt;"OFF",VALUE(LEFT(EST!C57,2))&gt;=12),
TEXT(TIMEVALUE(_xlfn.TEXTBEFORE(EST!C57," - "))+TIME(12,0,0),"hh:mm")
&amp; " - " &amp;
TEXT(TIMEVALUE(_xlfn.TEXTAFTER(EST!C57," - "))+TIME(12,0,0),"hh:mm"),
IF(AND(EST!D57&lt;&gt;"OFF",VALUE(LEFT(EST!D57,2))&lt;12),
TEXT(TIMEVALUE(_xlfn.TEXTBEFORE(EST!D57," - "))+TIME(12,0,0),"hh:mm")
&amp; " - " &amp;
TEXT(TIMEVALUE(_xlfn.TEXTAFTER(EST!D57," - "))+TIME(12,0,0),"hh:mm"),
"OFF")),"OFF")</f>
        <v>OFF</v>
      </c>
      <c r="E57" t="str">
        <f>IFERROR(IF(AND(EST!D57&lt;&gt;"OFF",VALUE(LEFT(EST!D57,2))&gt;=12),
TEXT(TIMEVALUE(_xlfn.TEXTBEFORE(EST!D57," - "))+TIME(12,0,0),"hh:mm")
&amp; " - " &amp;
TEXT(TIMEVALUE(_xlfn.TEXTAFTER(EST!D57," - "))+TIME(12,0,0),"hh:mm"),
IF(AND(EST!E57&lt;&gt;"OFF",VALUE(LEFT(EST!E57,2))&lt;12),
TEXT(TIMEVALUE(_xlfn.TEXTBEFORE(EST!E57," - "))+TIME(12,0,0),"hh:mm")
&amp; " - " &amp;
TEXT(TIMEVALUE(_xlfn.TEXTAFTER(EST!E57," - "))+TIME(12,0,0),"hh:mm"),
"OFF")),"OFF")</f>
        <v>OFF</v>
      </c>
      <c r="F57" t="str">
        <f>IFERROR(IF(EST!E57="OFF",
IF(EST!F57="OFF","OFF",
IF(VALUE(LEFT(EST!F57,2))&lt;12,
TEXT(TIMEVALUE(_xlfn.TEXTBEFORE(EST!F57," - "))+TIME(12,0,0),"hh:mm")
&amp; " - " &amp;
TEXT(TIMEVALUE(_xlfn.TEXTAFTER(EST!F57," - "))+TIME(12,0,0),"hh:mm"),
"OFF")),
TEXT(TIMEVALUE(_xlfn.TEXTBEFORE(EST!E57," - "))+TIME(12,0,0),"hh:mm")
&amp; " - " &amp;
TEXT(TIMEVALUE(_xlfn.TEXTAFTER(EST!E57," - "))+TIME(12,0,0),"hh:mm")),"OFF")</f>
        <v>OFF</v>
      </c>
      <c r="G57" t="str">
        <f>IFERROR(IF(EST!F57="OFF",
IF(EST!G57="OFF","OFF",
IF(VALUE(LEFT(EST!G57,2))&lt;12,
TEXT(TIMEVALUE(_xlfn.TEXTBEFORE(EST!G57," - "))+TIME(12,0,0),"hh:mm")
&amp; " - " &amp;
TEXT(TIMEVALUE(_xlfn.TEXTAFTER(EST!G57," - "))+TIME(12,0,0),"hh:mm"),
"OFF")),
TEXT(TIMEVALUE(_xlfn.TEXTBEFORE(EST!F57," - "))+TIME(12,0,0),"hh:mm")
&amp; " - " &amp;
TEXT(TIMEVALUE(_xlfn.TEXTAFTER(EST!F57," - "))+TIME(12,0,0),"hh:mm")),"OFF")</f>
        <v>17:00 - 04:00</v>
      </c>
      <c r="H57" t="str">
        <f>IFERROR(IF(EST!G57="OFF",
IF(EST!H57="OFF","OFF",
IF(VALUE(LEFT(EST!H57,2))&lt;12,
TEXT(TIMEVALUE(_xlfn.TEXTBEFORE(EST!H57," - "))+TIME(12,0,0),"hh:mm")
&amp; " - " &amp;
TEXT(TIMEVALUE(_xlfn.TEXTAFTER(EST!H57," - "))+TIME(12,0,0),"hh:mm"),
"OFF")),
TEXT(TIMEVALUE(_xlfn.TEXTBEFORE(EST!G57," - "))+TIME(12,0,0),"hh:mm")
&amp; " - " &amp;
TEXT(TIMEVALUE(_xlfn.TEXTAFTER(EST!G57," - "))+TIME(12,0,0),"hh:mm")),"OFF")</f>
        <v>17:00 - 04:00</v>
      </c>
      <c r="I57" t="str">
        <f t="shared" si="1"/>
        <v>Mon - Wed - Thu - Fri</v>
      </c>
      <c r="J57" s="38">
        <f>MOD(EST!J57+TIME(12,0,0),1)</f>
        <v>0.79166666666666674</v>
      </c>
      <c r="K57" s="38">
        <f>MOD(EST!K57+TIME(12,0,0),1)</f>
        <v>1.0416666666666519E-2</v>
      </c>
      <c r="L57" s="38">
        <f>MOD(EST!L57+TIME(12,0,0),1)</f>
        <v>0.88541666666666674</v>
      </c>
      <c r="M57" s="38">
        <f>MOD(EST!M57+TIME(12,0,0),1)</f>
        <v>0.11458333333333348</v>
      </c>
      <c r="N57" t="str">
        <f>EST!N57</f>
        <v>Remmo Panaligan</v>
      </c>
    </row>
    <row r="58" spans="1:14" x14ac:dyDescent="0.25">
      <c r="A58" t="str">
        <f>EST!A58</f>
        <v>CHRIS PAUL DALUT</v>
      </c>
      <c r="B58" t="str">
        <f>IFERROR(IF(EST!H58="OFF",
IF(EST!B58="OFF","OFF",
IF(VALUE(LEFT(EST!B58,2))&lt;12,
TEXT(TIMEVALUE(_xlfn.TEXTBEFORE(EST!B58," - "))+TIME(12,0,0),"hh:mm")
&amp;" - "&amp;
TEXT(TIMEVALUE(_xlfn.TEXTAFTER(EST!B58," - "))+TIME(12,0,0),"hh:mm"),
"OFF")),
IF(VALUE(LEFT(EST!H58,2))&gt;=12,
TEXT(TIMEVALUE(_xlfn.TEXTBEFORE(EST!H58," - "))+TIME(12,0,0),"hh:mm")
&amp;" - "&amp;
TEXT(TIMEVALUE(_xlfn.TEXTAFTER(EST!H58," - "))+TIME(12,0,0),"hh:mm"),
"OFF")),"OFF")</f>
        <v>15:00 - 02:00</v>
      </c>
      <c r="C58" t="str">
        <f>IFERROR(IF(AND(EST!B58&lt;&gt;"OFF",VALUE(LEFT(EST!B58,2))&gt;=12),
TEXT(TIMEVALUE(_xlfn.TEXTBEFORE(EST!B58," - "))+TIME(12,0,0),"hh:mm")
&amp; " - " &amp;
TEXT(TIMEVALUE(_xlfn.TEXTAFTER(EST!B58," - "))+TIME(12,0,0),"hh:mm"),
IF(AND(EST!C58&lt;&gt;"OFF",VALUE(LEFT(EST!C58,2))&lt;12),
TEXT(TIMEVALUE(_xlfn.TEXTBEFORE(EST!C58," - "))+TIME(12,0,0),"hh:mm")
&amp; " - " &amp;
TEXT(TIMEVALUE(_xlfn.TEXTAFTER(EST!C58," - "))+TIME(12,0,0),"hh:mm"),
"OFF")),"OFF")</f>
        <v>15:00 - 02:00</v>
      </c>
      <c r="D58" t="str">
        <f>IFERROR(IF(AND(EST!C58&lt;&gt;"OFF",VALUE(LEFT(EST!C58,2))&gt;=12),
TEXT(TIMEVALUE(_xlfn.TEXTBEFORE(EST!C58," - "))+TIME(12,0,0),"hh:mm")
&amp; " - " &amp;
TEXT(TIMEVALUE(_xlfn.TEXTAFTER(EST!C58," - "))+TIME(12,0,0),"hh:mm"),
IF(AND(EST!D58&lt;&gt;"OFF",VALUE(LEFT(EST!D58,2))&lt;12),
TEXT(TIMEVALUE(_xlfn.TEXTBEFORE(EST!D58," - "))+TIME(12,0,0),"hh:mm")
&amp; " - " &amp;
TEXT(TIMEVALUE(_xlfn.TEXTAFTER(EST!D58," - "))+TIME(12,0,0),"hh:mm"),
"OFF")),"OFF")</f>
        <v>OFF</v>
      </c>
      <c r="E58" t="str">
        <f>IFERROR(IF(AND(EST!D58&lt;&gt;"OFF",VALUE(LEFT(EST!D58,2))&gt;=12),
TEXT(TIMEVALUE(_xlfn.TEXTBEFORE(EST!D58," - "))+TIME(12,0,0),"hh:mm")
&amp; " - " &amp;
TEXT(TIMEVALUE(_xlfn.TEXTAFTER(EST!D58," - "))+TIME(12,0,0),"hh:mm"),
IF(AND(EST!E58&lt;&gt;"OFF",VALUE(LEFT(EST!E58,2))&lt;12),
TEXT(TIMEVALUE(_xlfn.TEXTBEFORE(EST!E58," - "))+TIME(12,0,0),"hh:mm")
&amp; " - " &amp;
TEXT(TIMEVALUE(_xlfn.TEXTAFTER(EST!E58," - "))+TIME(12,0,0),"hh:mm"),
"OFF")),"OFF")</f>
        <v>OFF</v>
      </c>
      <c r="F58" t="str">
        <f>IFERROR(IF(EST!E58="OFF",
IF(EST!F58="OFF","OFF",
IF(VALUE(LEFT(EST!F58,2))&lt;12,
TEXT(TIMEVALUE(_xlfn.TEXTBEFORE(EST!F58," - "))+TIME(12,0,0),"hh:mm")
&amp; " - " &amp;
TEXT(TIMEVALUE(_xlfn.TEXTAFTER(EST!F58," - "))+TIME(12,0,0),"hh:mm"),
"OFF")),
TEXT(TIMEVALUE(_xlfn.TEXTBEFORE(EST!E58," - "))+TIME(12,0,0),"hh:mm")
&amp; " - " &amp;
TEXT(TIMEVALUE(_xlfn.TEXTAFTER(EST!E58," - "))+TIME(12,0,0),"hh:mm")),"OFF")</f>
        <v>15:00 - 02:00</v>
      </c>
      <c r="G58" t="str">
        <f>IFERROR(IF(EST!F58="OFF",
IF(EST!G58="OFF","OFF",
IF(VALUE(LEFT(EST!G58,2))&lt;12,
TEXT(TIMEVALUE(_xlfn.TEXTBEFORE(EST!G58," - "))+TIME(12,0,0),"hh:mm")
&amp; " - " &amp;
TEXT(TIMEVALUE(_xlfn.TEXTAFTER(EST!G58," - "))+TIME(12,0,0),"hh:mm"),
"OFF")),
TEXT(TIMEVALUE(_xlfn.TEXTBEFORE(EST!F58," - "))+TIME(12,0,0),"hh:mm")
&amp; " - " &amp;
TEXT(TIMEVALUE(_xlfn.TEXTAFTER(EST!F58," - "))+TIME(12,0,0),"hh:mm")),"OFF")</f>
        <v>15:00 - 02:00</v>
      </c>
      <c r="H58" t="str">
        <f>IFERROR(IF(EST!G58="OFF",
IF(EST!H58="OFF","OFF",
IF(VALUE(LEFT(EST!H58,2))&lt;12,
TEXT(TIMEVALUE(_xlfn.TEXTBEFORE(EST!H58," - "))+TIME(12,0,0),"hh:mm")
&amp; " - " &amp;
TEXT(TIMEVALUE(_xlfn.TEXTAFTER(EST!H58," - "))+TIME(12,0,0),"hh:mm"),
"OFF")),
TEXT(TIMEVALUE(_xlfn.TEXTBEFORE(EST!G58," - "))+TIME(12,0,0),"hh:mm")
&amp; " - " &amp;
TEXT(TIMEVALUE(_xlfn.TEXTAFTER(EST!G58," - "))+TIME(12,0,0),"hh:mm")),"OFF")</f>
        <v>OFF</v>
      </c>
      <c r="I58" t="str">
        <f t="shared" si="1"/>
        <v>Wed - Thu - Sun</v>
      </c>
      <c r="J58" s="38">
        <f>MOD(EST!J58+TIME(12,0,0),1)</f>
        <v>0.69791666666666663</v>
      </c>
      <c r="K58" s="38">
        <f>MOD(EST!K58+TIME(12,0,0),1)</f>
        <v>0.9375</v>
      </c>
      <c r="L58" s="38">
        <f>MOD(EST!L58+TIME(12,0,0),1)</f>
        <v>0.8125</v>
      </c>
      <c r="M58" s="38">
        <f>MOD(EST!M58+TIME(12,0,0),1)</f>
        <v>4.1666666666666519E-2</v>
      </c>
      <c r="N58" t="str">
        <f>EST!N58</f>
        <v>Anmecha Valencia</v>
      </c>
    </row>
    <row r="59" spans="1:14" x14ac:dyDescent="0.25">
      <c r="A59" t="str">
        <f>EST!A59</f>
        <v>JEFFRYL JOE PADRILLO</v>
      </c>
      <c r="B59" t="str">
        <f>IFERROR(IF(EST!H59="OFF",
IF(EST!B59="OFF","OFF",
IF(VALUE(LEFT(EST!B59,2))&lt;12,
TEXT(TIMEVALUE(_xlfn.TEXTBEFORE(EST!B59," - "))+TIME(12,0,0),"hh:mm")
&amp;" - "&amp;
TEXT(TIMEVALUE(_xlfn.TEXTAFTER(EST!B59," - "))+TIME(12,0,0),"hh:mm"),
"OFF")),
IF(VALUE(LEFT(EST!H59,2))&gt;=12,
TEXT(TIMEVALUE(_xlfn.TEXTBEFORE(EST!H59," - "))+TIME(12,0,0),"hh:mm")
&amp;" - "&amp;
TEXT(TIMEVALUE(_xlfn.TEXTAFTER(EST!H59," - "))+TIME(12,0,0),"hh:mm"),
"OFF")),"OFF")</f>
        <v>OFF</v>
      </c>
      <c r="C59" t="str">
        <f>IFERROR(IF(AND(EST!B59&lt;&gt;"OFF",VALUE(LEFT(EST!B59,2))&gt;=12),
TEXT(TIMEVALUE(_xlfn.TEXTBEFORE(EST!B59," - "))+TIME(12,0,0),"hh:mm")
&amp; " - " &amp;
TEXT(TIMEVALUE(_xlfn.TEXTAFTER(EST!B59," - "))+TIME(12,0,0),"hh:mm"),
IF(AND(EST!C59&lt;&gt;"OFF",VALUE(LEFT(EST!C59,2))&lt;12),
TEXT(TIMEVALUE(_xlfn.TEXTBEFORE(EST!C59," - "))+TIME(12,0,0),"hh:mm")
&amp; " - " &amp;
TEXT(TIMEVALUE(_xlfn.TEXTAFTER(EST!C59," - "))+TIME(12,0,0),"hh:mm"),
"OFF")),"OFF")</f>
        <v>14:00 - 01:00</v>
      </c>
      <c r="D59" t="str">
        <f>IFERROR(IF(AND(EST!C59&lt;&gt;"OFF",VALUE(LEFT(EST!C59,2))&gt;=12),
TEXT(TIMEVALUE(_xlfn.TEXTBEFORE(EST!C59," - "))+TIME(12,0,0),"hh:mm")
&amp; " - " &amp;
TEXT(TIMEVALUE(_xlfn.TEXTAFTER(EST!C59," - "))+TIME(12,0,0),"hh:mm"),
IF(AND(EST!D59&lt;&gt;"OFF",VALUE(LEFT(EST!D59,2))&lt;12),
TEXT(TIMEVALUE(_xlfn.TEXTBEFORE(EST!D59," - "))+TIME(12,0,0),"hh:mm")
&amp; " - " &amp;
TEXT(TIMEVALUE(_xlfn.TEXTAFTER(EST!D59," - "))+TIME(12,0,0),"hh:mm"),
"OFF")),"OFF")</f>
        <v>14:00 - 01:00</v>
      </c>
      <c r="E59" t="str">
        <f>IFERROR(IF(AND(EST!D59&lt;&gt;"OFF",VALUE(LEFT(EST!D59,2))&gt;=12),
TEXT(TIMEVALUE(_xlfn.TEXTBEFORE(EST!D59," - "))+TIME(12,0,0),"hh:mm")
&amp; " - " &amp;
TEXT(TIMEVALUE(_xlfn.TEXTAFTER(EST!D59," - "))+TIME(12,0,0),"hh:mm"),
IF(AND(EST!E59&lt;&gt;"OFF",VALUE(LEFT(EST!E59,2))&lt;12),
TEXT(TIMEVALUE(_xlfn.TEXTBEFORE(EST!E59," - "))+TIME(12,0,0),"hh:mm")
&amp; " - " &amp;
TEXT(TIMEVALUE(_xlfn.TEXTAFTER(EST!E59," - "))+TIME(12,0,0),"hh:mm"),
"OFF")),"OFF")</f>
        <v>OFF</v>
      </c>
      <c r="F59" t="str">
        <f>IFERROR(IF(EST!E59="OFF",
IF(EST!F59="OFF","OFF",
IF(VALUE(LEFT(EST!F59,2))&lt;12,
TEXT(TIMEVALUE(_xlfn.TEXTBEFORE(EST!F59," - "))+TIME(12,0,0),"hh:mm")
&amp; " - " &amp;
TEXT(TIMEVALUE(_xlfn.TEXTAFTER(EST!F59," - "))+TIME(12,0,0),"hh:mm"),
"OFF")),
TEXT(TIMEVALUE(_xlfn.TEXTBEFORE(EST!E59," - "))+TIME(12,0,0),"hh:mm")
&amp; " - " &amp;
TEXT(TIMEVALUE(_xlfn.TEXTAFTER(EST!E59," - "))+TIME(12,0,0),"hh:mm")),"OFF")</f>
        <v>OFF</v>
      </c>
      <c r="G59" t="str">
        <f>IFERROR(IF(EST!F59="OFF",
IF(EST!G59="OFF","OFF",
IF(VALUE(LEFT(EST!G59,2))&lt;12,
TEXT(TIMEVALUE(_xlfn.TEXTBEFORE(EST!G59," - "))+TIME(12,0,0),"hh:mm")
&amp; " - " &amp;
TEXT(TIMEVALUE(_xlfn.TEXTAFTER(EST!G59," - "))+TIME(12,0,0),"hh:mm"),
"OFF")),
TEXT(TIMEVALUE(_xlfn.TEXTBEFORE(EST!F59," - "))+TIME(12,0,0),"hh:mm")
&amp; " - " &amp;
TEXT(TIMEVALUE(_xlfn.TEXTAFTER(EST!F59," - "))+TIME(12,0,0),"hh:mm")),"OFF")</f>
        <v>OFF</v>
      </c>
      <c r="H59" t="str">
        <f>IFERROR(IF(EST!G59="OFF",
IF(EST!H59="OFF","OFF",
IF(VALUE(LEFT(EST!H59,2))&lt;12,
TEXT(TIMEVALUE(_xlfn.TEXTBEFORE(EST!H59," - "))+TIME(12,0,0),"hh:mm")
&amp; " - " &amp;
TEXT(TIMEVALUE(_xlfn.TEXTAFTER(EST!H59," - "))+TIME(12,0,0),"hh:mm"),
"OFF")),
TEXT(TIMEVALUE(_xlfn.TEXTBEFORE(EST!G59," - "))+TIME(12,0,0),"hh:mm")
&amp; " - " &amp;
TEXT(TIMEVALUE(_xlfn.TEXTAFTER(EST!G59," - "))+TIME(12,0,0),"hh:mm")),"OFF")</f>
        <v>14:00 - 01:00</v>
      </c>
      <c r="I59" t="str">
        <f t="shared" si="1"/>
        <v>Mon - Thu - Fri - Sat</v>
      </c>
      <c r="J59" s="38">
        <f>MOD(EST!J59+TIME(12,0,0),1)</f>
        <v>0.65625</v>
      </c>
      <c r="K59" s="38">
        <f>MOD(EST!K59+TIME(12,0,0),1)</f>
        <v>0.875</v>
      </c>
      <c r="L59" s="38">
        <f>MOD(EST!L59+TIME(12,0,0),1)</f>
        <v>0.75</v>
      </c>
      <c r="M59" s="38">
        <f>MOD(EST!M59+TIME(12,0,0),1)</f>
        <v>0.97916666666666674</v>
      </c>
      <c r="N59" t="str">
        <f>EST!N59</f>
        <v>Christopher Rodas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29"/>
  <sheetViews>
    <sheetView workbookViewId="0">
      <selection activeCell="B18" sqref="B18"/>
    </sheetView>
  </sheetViews>
  <sheetFormatPr defaultRowHeight="15" x14ac:dyDescent="0.25"/>
  <cols>
    <col min="1" max="1" width="26.7109375" customWidth="1"/>
    <col min="2" max="2" width="17.7109375" style="29" customWidth="1"/>
    <col min="3" max="3" width="14.5703125" customWidth="1"/>
    <col min="4" max="4" width="14.28515625" customWidth="1"/>
  </cols>
  <sheetData>
    <row r="1" spans="1:4" ht="17.25" thickBot="1" x14ac:dyDescent="0.3">
      <c r="A1" s="24" t="s">
        <v>0</v>
      </c>
      <c r="B1" s="28" t="s">
        <v>122</v>
      </c>
      <c r="C1" s="24" t="s">
        <v>123</v>
      </c>
      <c r="D1" s="24" t="s">
        <v>13</v>
      </c>
    </row>
    <row r="2" spans="1:4" x14ac:dyDescent="0.25">
      <c r="A2" s="16" t="s">
        <v>87</v>
      </c>
      <c r="B2" s="29">
        <v>46315</v>
      </c>
      <c r="C2" t="s">
        <v>125</v>
      </c>
      <c r="D2" t="str">
        <f>VLOOKUP(A2,EST!A:N,14,FALSE)</f>
        <v>Christopher Rodas</v>
      </c>
    </row>
    <row r="3" spans="1:4" x14ac:dyDescent="0.25">
      <c r="A3" t="s">
        <v>69</v>
      </c>
      <c r="B3" s="29">
        <v>46315</v>
      </c>
      <c r="C3" t="s">
        <v>125</v>
      </c>
      <c r="D3" t="str">
        <f>VLOOKUP(A3,EST!A:N,14,FALSE)</f>
        <v>Michael Dominguez</v>
      </c>
    </row>
    <row r="4" spans="1:4" x14ac:dyDescent="0.25">
      <c r="A4" t="s">
        <v>63</v>
      </c>
      <c r="B4" s="29">
        <v>46315</v>
      </c>
      <c r="C4" t="s">
        <v>125</v>
      </c>
      <c r="D4" t="str">
        <f>VLOOKUP(A4,EST!A:N,14,FALSE)</f>
        <v>Remmo Panaligan</v>
      </c>
    </row>
    <row r="5" spans="1:4" x14ac:dyDescent="0.25">
      <c r="A5" t="s">
        <v>80</v>
      </c>
      <c r="B5" s="29">
        <v>46316</v>
      </c>
      <c r="C5" t="s">
        <v>125</v>
      </c>
      <c r="D5" t="str">
        <f>VLOOKUP(A5,EST!A:N,14,FALSE)</f>
        <v>Michael Dominguez</v>
      </c>
    </row>
    <row r="6" spans="1:4" x14ac:dyDescent="0.25">
      <c r="A6" t="s">
        <v>95</v>
      </c>
      <c r="B6" s="29">
        <v>46317</v>
      </c>
      <c r="C6" t="s">
        <v>125</v>
      </c>
      <c r="D6" t="str">
        <f>VLOOKUP(A6,EST!A:N,14,FALSE)</f>
        <v>Manilyn Abellar</v>
      </c>
    </row>
    <row r="7" spans="1:4" x14ac:dyDescent="0.25">
      <c r="A7" t="s">
        <v>72</v>
      </c>
      <c r="B7" s="29">
        <v>46317</v>
      </c>
      <c r="C7" t="s">
        <v>125</v>
      </c>
      <c r="D7" t="str">
        <f>VLOOKUP(A7,EST!A:N,14,FALSE)</f>
        <v>Anmecha Valencia</v>
      </c>
    </row>
    <row r="8" spans="1:4" x14ac:dyDescent="0.25">
      <c r="A8" t="s">
        <v>80</v>
      </c>
      <c r="B8" s="29">
        <v>46317</v>
      </c>
      <c r="C8" t="s">
        <v>125</v>
      </c>
      <c r="D8" t="str">
        <f>VLOOKUP(A8,EST!A:N,14,FALSE)</f>
        <v>Michael Dominguez</v>
      </c>
    </row>
    <row r="9" spans="1:4" x14ac:dyDescent="0.25">
      <c r="A9" t="s">
        <v>78</v>
      </c>
      <c r="B9" s="29">
        <v>46318</v>
      </c>
      <c r="C9" t="s">
        <v>125</v>
      </c>
      <c r="D9" t="str">
        <f>VLOOKUP(A9,EST!A:N,14,FALSE)</f>
        <v>Anmecha Valencia</v>
      </c>
    </row>
    <row r="10" spans="1:4" x14ac:dyDescent="0.25">
      <c r="A10" t="s">
        <v>73</v>
      </c>
      <c r="B10" s="29">
        <v>46318</v>
      </c>
      <c r="C10" t="s">
        <v>125</v>
      </c>
      <c r="D10" t="str">
        <f>VLOOKUP(A10,EST!A:N,14,FALSE)</f>
        <v>Michael Dominguez</v>
      </c>
    </row>
    <row r="11" spans="1:4" x14ac:dyDescent="0.25">
      <c r="A11" t="s">
        <v>116</v>
      </c>
      <c r="B11" s="29">
        <v>46318</v>
      </c>
      <c r="C11" t="s">
        <v>125</v>
      </c>
      <c r="D11" t="str">
        <f>VLOOKUP(A11,EST!A:N,14,FALSE)</f>
        <v>Anmecha Valencia</v>
      </c>
    </row>
    <row r="12" spans="1:4" x14ac:dyDescent="0.25">
      <c r="A12" t="s">
        <v>108</v>
      </c>
      <c r="B12" s="29">
        <v>46320</v>
      </c>
      <c r="C12" t="s">
        <v>125</v>
      </c>
      <c r="D12" t="str">
        <f>VLOOKUP(A12,EST!A:N,14,FALSE)</f>
        <v>Remmo Panaligan</v>
      </c>
    </row>
    <row r="13" spans="1:4" x14ac:dyDescent="0.25">
      <c r="A13" t="s">
        <v>118</v>
      </c>
      <c r="B13" s="29">
        <v>46321</v>
      </c>
      <c r="C13" t="s">
        <v>125</v>
      </c>
      <c r="D13" t="str">
        <f>VLOOKUP(A13,EST!A:N,14,FALSE)</f>
        <v>Michael Dominguez</v>
      </c>
    </row>
    <row r="14" spans="1:4" x14ac:dyDescent="0.25">
      <c r="A14" t="s">
        <v>93</v>
      </c>
      <c r="B14" s="29">
        <v>46321</v>
      </c>
      <c r="C14" t="s">
        <v>125</v>
      </c>
      <c r="D14" t="str">
        <f>VLOOKUP(A14,EST!A:N,14,FALSE)</f>
        <v>Remmo Panaligan</v>
      </c>
    </row>
    <row r="15" spans="1:4" x14ac:dyDescent="0.25">
      <c r="A15" t="s">
        <v>86</v>
      </c>
      <c r="B15" s="29">
        <v>46321</v>
      </c>
      <c r="C15" t="s">
        <v>125</v>
      </c>
      <c r="D15" t="str">
        <f>VLOOKUP(A15,EST!A:N,14,FALSE)</f>
        <v>Remmo Panaligan</v>
      </c>
    </row>
    <row r="16" spans="1:4" x14ac:dyDescent="0.25">
      <c r="A16" t="s">
        <v>78</v>
      </c>
      <c r="B16" s="29">
        <v>46321</v>
      </c>
      <c r="C16" t="s">
        <v>125</v>
      </c>
      <c r="D16" t="str">
        <f>VLOOKUP(A16,EST!A:N,14,FALSE)</f>
        <v>Anmecha Valencia</v>
      </c>
    </row>
    <row r="17" spans="1:4" x14ac:dyDescent="0.25">
      <c r="A17" t="s">
        <v>118</v>
      </c>
      <c r="B17" s="29">
        <v>46322</v>
      </c>
      <c r="C17" t="s">
        <v>125</v>
      </c>
      <c r="D17" t="str">
        <f>VLOOKUP(A17,EST!A:N,14,FALSE)</f>
        <v>Michael Dominguez</v>
      </c>
    </row>
    <row r="18" spans="1:4" x14ac:dyDescent="0.25">
      <c r="A18" t="s">
        <v>93</v>
      </c>
      <c r="B18" s="29">
        <v>46322</v>
      </c>
      <c r="C18" t="s">
        <v>125</v>
      </c>
      <c r="D18" t="str">
        <f>VLOOKUP(A18,EST!A:N,14,FALSE)</f>
        <v>Remmo Panaligan</v>
      </c>
    </row>
    <row r="19" spans="1:4" x14ac:dyDescent="0.25">
      <c r="A19" t="s">
        <v>86</v>
      </c>
      <c r="B19" s="29">
        <v>46322</v>
      </c>
      <c r="C19" t="s">
        <v>125</v>
      </c>
      <c r="D19" t="str">
        <f>VLOOKUP(A19,EST!A:N,14,FALSE)</f>
        <v>Remmo Panaligan</v>
      </c>
    </row>
    <row r="20" spans="1:4" x14ac:dyDescent="0.25">
      <c r="A20" t="s">
        <v>78</v>
      </c>
      <c r="B20" s="29">
        <v>46322</v>
      </c>
      <c r="C20" t="s">
        <v>125</v>
      </c>
      <c r="D20" t="str">
        <f>VLOOKUP(A20,EST!A:N,14,FALSE)</f>
        <v>Anmecha Valencia</v>
      </c>
    </row>
    <row r="21" spans="1:4" x14ac:dyDescent="0.25">
      <c r="A21" t="s">
        <v>83</v>
      </c>
      <c r="B21" s="29">
        <v>46322</v>
      </c>
      <c r="C21" t="s">
        <v>125</v>
      </c>
      <c r="D21" t="str">
        <f>VLOOKUP(A21,EST!A:N,14,FALSE)</f>
        <v>Christopher Rodas</v>
      </c>
    </row>
    <row r="22" spans="1:4" x14ac:dyDescent="0.25">
      <c r="A22" t="s">
        <v>83</v>
      </c>
      <c r="B22" s="29">
        <v>46323</v>
      </c>
      <c r="C22" t="s">
        <v>125</v>
      </c>
      <c r="D22" t="str">
        <f>VLOOKUP(A22,EST!A:N,14,FALSE)</f>
        <v>Christopher Rodas</v>
      </c>
    </row>
    <row r="23" spans="1:4" x14ac:dyDescent="0.25">
      <c r="A23" t="s">
        <v>66</v>
      </c>
      <c r="B23" s="29">
        <v>46323</v>
      </c>
      <c r="C23" t="s">
        <v>125</v>
      </c>
      <c r="D23" t="str">
        <f>VLOOKUP(A23,EST!A:N,14,FALSE)</f>
        <v>Manilyn Abellar</v>
      </c>
    </row>
    <row r="24" spans="1:4" x14ac:dyDescent="0.25">
      <c r="A24" t="s">
        <v>102</v>
      </c>
      <c r="B24" s="29">
        <v>46324</v>
      </c>
      <c r="C24" t="s">
        <v>125</v>
      </c>
      <c r="D24" t="str">
        <f>VLOOKUP(A24,EST!A:N,14,FALSE)</f>
        <v>Remmo Panaligan</v>
      </c>
    </row>
    <row r="25" spans="1:4" x14ac:dyDescent="0.25">
      <c r="A25" t="s">
        <v>126</v>
      </c>
      <c r="B25" s="29">
        <v>46324</v>
      </c>
      <c r="C25" t="s">
        <v>125</v>
      </c>
      <c r="D25" t="str">
        <f>VLOOKUP(A25,EST!A:N,14,FALSE)</f>
        <v>Christopher Rodas</v>
      </c>
    </row>
    <row r="26" spans="1:4" x14ac:dyDescent="0.25">
      <c r="A26" t="s">
        <v>78</v>
      </c>
      <c r="B26" s="29">
        <v>46324</v>
      </c>
      <c r="C26" t="s">
        <v>125</v>
      </c>
      <c r="D26" t="str">
        <f>VLOOKUP(A26,EST!A:N,14,FALSE)</f>
        <v>Anmecha Valencia</v>
      </c>
    </row>
    <row r="27" spans="1:4" x14ac:dyDescent="0.25">
      <c r="A27" t="s">
        <v>95</v>
      </c>
      <c r="B27" s="29">
        <v>46324</v>
      </c>
      <c r="C27" t="s">
        <v>125</v>
      </c>
      <c r="D27" t="str">
        <f>VLOOKUP(A27,EST!A:N,14,FALSE)</f>
        <v>Manilyn Abellar</v>
      </c>
    </row>
    <row r="28" spans="1:4" x14ac:dyDescent="0.25">
      <c r="A28" t="s">
        <v>88</v>
      </c>
      <c r="B28" s="29">
        <v>46325</v>
      </c>
      <c r="C28" t="s">
        <v>125</v>
      </c>
      <c r="D28" t="str">
        <f>VLOOKUP(A28,EST!A:N,14,FALSE)</f>
        <v>Manilyn Abellar</v>
      </c>
    </row>
    <row r="29" spans="1:4" x14ac:dyDescent="0.25">
      <c r="A29" t="s">
        <v>81</v>
      </c>
      <c r="B29" s="29">
        <v>46326</v>
      </c>
      <c r="C29" t="s">
        <v>125</v>
      </c>
      <c r="D29" t="str">
        <f>VLOOKUP(A29,EST!A:N,14,FALSE)</f>
        <v>Christopher Rodas</v>
      </c>
    </row>
  </sheetData>
  <conditionalFormatting sqref="A2">
    <cfRule type="cellIs" dxfId="2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5"/>
  <sheetViews>
    <sheetView tabSelected="1" workbookViewId="0">
      <selection activeCell="C10" sqref="C10"/>
    </sheetView>
  </sheetViews>
  <sheetFormatPr defaultRowHeight="15" x14ac:dyDescent="0.25"/>
  <cols>
    <col min="1" max="1" width="27.140625" style="27" customWidth="1"/>
    <col min="2" max="2" width="17.7109375" style="29" customWidth="1"/>
    <col min="3" max="3" width="22.28515625" style="27" customWidth="1"/>
    <col min="4" max="4" width="18.7109375" customWidth="1"/>
  </cols>
  <sheetData>
    <row r="1" spans="1:4" ht="17.25" thickBot="1" x14ac:dyDescent="0.3">
      <c r="A1" s="25" t="s">
        <v>0</v>
      </c>
      <c r="B1" s="28" t="s">
        <v>122</v>
      </c>
      <c r="C1" s="25" t="s">
        <v>123</v>
      </c>
      <c r="D1" s="25" t="s">
        <v>13</v>
      </c>
    </row>
    <row r="2" spans="1:4" x14ac:dyDescent="0.25">
      <c r="A2" s="26" t="s">
        <v>76</v>
      </c>
      <c r="B2" s="29">
        <v>46315</v>
      </c>
      <c r="C2" s="27" t="s">
        <v>124</v>
      </c>
      <c r="D2" t="str">
        <f>VLOOKUP(A2,EST!A:N,14,FALSE)</f>
        <v>Anmecha Valencia</v>
      </c>
    </row>
    <row r="3" spans="1:4" x14ac:dyDescent="0.25">
      <c r="A3" s="27" t="s">
        <v>84</v>
      </c>
      <c r="B3" s="29">
        <v>46316</v>
      </c>
      <c r="C3" s="27" t="s">
        <v>127</v>
      </c>
      <c r="D3" t="str">
        <f>VLOOKUP(A3,EST!A:N,14,FALSE)</f>
        <v>Michael Dominguez</v>
      </c>
    </row>
    <row r="4" spans="1:4" x14ac:dyDescent="0.25">
      <c r="A4" s="11" t="s">
        <v>76</v>
      </c>
      <c r="B4" s="29">
        <v>46316</v>
      </c>
      <c r="C4" s="27" t="s">
        <v>128</v>
      </c>
      <c r="D4" t="str">
        <f>VLOOKUP(A4,EST!A:N,14,FALSE)</f>
        <v>Anmecha Valencia</v>
      </c>
    </row>
    <row r="5" spans="1:4" x14ac:dyDescent="0.25">
      <c r="A5" s="27" t="s">
        <v>99</v>
      </c>
      <c r="B5" s="29">
        <v>46317</v>
      </c>
      <c r="C5" s="27" t="s">
        <v>129</v>
      </c>
      <c r="D5" t="str">
        <f>VLOOKUP(A5,EST!A:N,14,FALSE)</f>
        <v>Christopher Rodas</v>
      </c>
    </row>
  </sheetData>
  <conditionalFormatting sqref="A2">
    <cfRule type="cellIs" dxfId="1" priority="2" operator="equal">
      <formula>"OFF"</formula>
    </cfRule>
  </conditionalFormatting>
  <conditionalFormatting sqref="A4">
    <cfRule type="cellIs" dxfId="0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EST</vt:lpstr>
      <vt:lpstr>PH</vt:lpstr>
      <vt:lpstr>PTO</vt:lpstr>
      <vt:lpstr>Called 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2026-10-22T13:52:57Z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