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https://twdc-my.sharepoint.com/personal/manilyn_abellar_-nd_disney_com/Documents/WFM Dashboard/"/>
    </mc:Choice>
  </mc:AlternateContent>
  <xr:revisionPtr revIDLastSave="0" documentId="8_{327C7CCB-BA23-4F6B-BBC2-1AAF2F31622E}" xr6:coauthVersionLast="47" xr6:coauthVersionMax="47" xr10:uidLastSave="{00000000-0000-0000-0000-000000000000}"/>
  <bookViews>
    <workbookView xWindow="-108" yWindow="-108" windowWidth="23256" windowHeight="13896" firstSheet="1" activeTab="3" xr2:uid="{75395B83-6453-4C33-8933-D8D7F8DF6F8F}"/>
  </bookViews>
  <sheets>
    <sheet name="EST" sheetId="1" r:id="rId1"/>
    <sheet name="PH" sheetId="4" r:id="rId2"/>
    <sheet name="EST_OLD" sheetId="6" r:id="rId3"/>
    <sheet name="PH_OLD" sheetId="7" r:id="rId4"/>
    <sheet name="ROSTER" sheetId="8" r:id="rId5"/>
    <sheet name="Sheet1" sheetId="9" state="hidden" r:id="rId6"/>
  </sheets>
  <definedNames>
    <definedName name="_xlnm._FilterDatabase" localSheetId="0" hidden="1">EST!$A$1:$O$67</definedName>
    <definedName name="_xlnm._FilterDatabase" localSheetId="1" hidden="1">PH!$A$1:$O$61</definedName>
    <definedName name="_xlnm._FilterDatabase" localSheetId="3" hidden="1">PH_OLD!$A$1:$P$68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P2" i="1" l="1"/>
  <c r="A67" i="4"/>
  <c r="J67" i="4"/>
  <c r="K67" i="4"/>
  <c r="L67" i="4"/>
  <c r="M67" i="4"/>
  <c r="O67" i="4"/>
  <c r="P67" i="4"/>
  <c r="N2" i="1"/>
  <c r="I2" i="1"/>
  <c r="I52" i="1"/>
  <c r="J3" i="4"/>
  <c r="K3" i="4"/>
  <c r="L3" i="4"/>
  <c r="M3" i="4"/>
  <c r="J4" i="4"/>
  <c r="K4" i="4"/>
  <c r="L4" i="4"/>
  <c r="M4" i="4"/>
  <c r="J5" i="4"/>
  <c r="K5" i="4"/>
  <c r="L5" i="4"/>
  <c r="M5" i="4"/>
  <c r="J6" i="4"/>
  <c r="K6" i="4"/>
  <c r="L6" i="4"/>
  <c r="M6" i="4"/>
  <c r="J7" i="4"/>
  <c r="K7" i="4"/>
  <c r="L7" i="4"/>
  <c r="M7" i="4"/>
  <c r="J8" i="4"/>
  <c r="K8" i="4"/>
  <c r="L8" i="4"/>
  <c r="M8" i="4"/>
  <c r="J9" i="4"/>
  <c r="K9" i="4"/>
  <c r="L9" i="4"/>
  <c r="M9" i="4"/>
  <c r="J10" i="4"/>
  <c r="K10" i="4"/>
  <c r="L10" i="4"/>
  <c r="M10" i="4"/>
  <c r="J11" i="4"/>
  <c r="K11" i="4"/>
  <c r="L11" i="4"/>
  <c r="M11" i="4"/>
  <c r="J12" i="4"/>
  <c r="K12" i="4"/>
  <c r="L12" i="4"/>
  <c r="M12" i="4"/>
  <c r="J13" i="4"/>
  <c r="K13" i="4"/>
  <c r="L13" i="4"/>
  <c r="M13" i="4"/>
  <c r="J14" i="4"/>
  <c r="K14" i="4"/>
  <c r="L14" i="4"/>
  <c r="M14" i="4"/>
  <c r="J15" i="4"/>
  <c r="K15" i="4"/>
  <c r="L15" i="4"/>
  <c r="M15" i="4"/>
  <c r="J16" i="4"/>
  <c r="K16" i="4"/>
  <c r="L16" i="4"/>
  <c r="M16" i="4"/>
  <c r="J17" i="4"/>
  <c r="K17" i="4"/>
  <c r="L17" i="4"/>
  <c r="M17" i="4"/>
  <c r="J18" i="4"/>
  <c r="K18" i="4"/>
  <c r="L18" i="4"/>
  <c r="M18" i="4"/>
  <c r="J19" i="4"/>
  <c r="K19" i="4"/>
  <c r="L19" i="4"/>
  <c r="M19" i="4"/>
  <c r="J20" i="4"/>
  <c r="K20" i="4"/>
  <c r="L20" i="4"/>
  <c r="M20" i="4"/>
  <c r="J21" i="4"/>
  <c r="K21" i="4"/>
  <c r="L21" i="4"/>
  <c r="M21" i="4"/>
  <c r="J22" i="4"/>
  <c r="K22" i="4"/>
  <c r="L22" i="4"/>
  <c r="M22" i="4"/>
  <c r="J23" i="4"/>
  <c r="K23" i="4"/>
  <c r="L23" i="4"/>
  <c r="M23" i="4"/>
  <c r="J24" i="4"/>
  <c r="K24" i="4"/>
  <c r="L24" i="4"/>
  <c r="M24" i="4"/>
  <c r="J25" i="4"/>
  <c r="K25" i="4"/>
  <c r="L25" i="4"/>
  <c r="M25" i="4"/>
  <c r="J26" i="4"/>
  <c r="K26" i="4"/>
  <c r="L26" i="4"/>
  <c r="M26" i="4"/>
  <c r="J27" i="4"/>
  <c r="K27" i="4"/>
  <c r="L27" i="4"/>
  <c r="M27" i="4"/>
  <c r="J28" i="4"/>
  <c r="K28" i="4"/>
  <c r="L28" i="4"/>
  <c r="M28" i="4"/>
  <c r="J29" i="4"/>
  <c r="K29" i="4"/>
  <c r="L29" i="4"/>
  <c r="M29" i="4"/>
  <c r="J30" i="4"/>
  <c r="K30" i="4"/>
  <c r="L30" i="4"/>
  <c r="M30" i="4"/>
  <c r="J31" i="4"/>
  <c r="K31" i="4"/>
  <c r="L31" i="4"/>
  <c r="M31" i="4"/>
  <c r="J32" i="4"/>
  <c r="K32" i="4"/>
  <c r="L32" i="4"/>
  <c r="M32" i="4"/>
  <c r="J33" i="4"/>
  <c r="K33" i="4"/>
  <c r="L33" i="4"/>
  <c r="M33" i="4"/>
  <c r="J34" i="4"/>
  <c r="K34" i="4"/>
  <c r="L34" i="4"/>
  <c r="M34" i="4"/>
  <c r="J35" i="4"/>
  <c r="K35" i="4"/>
  <c r="L35" i="4"/>
  <c r="M35" i="4"/>
  <c r="J36" i="4"/>
  <c r="K36" i="4"/>
  <c r="L36" i="4"/>
  <c r="M36" i="4"/>
  <c r="J37" i="4"/>
  <c r="K37" i="4"/>
  <c r="L37" i="4"/>
  <c r="M37" i="4"/>
  <c r="J38" i="4"/>
  <c r="K38" i="4"/>
  <c r="L38" i="4"/>
  <c r="M38" i="4"/>
  <c r="J39" i="4"/>
  <c r="K39" i="4"/>
  <c r="L39" i="4"/>
  <c r="M39" i="4"/>
  <c r="J40" i="4"/>
  <c r="K40" i="4"/>
  <c r="L40" i="4"/>
  <c r="M40" i="4"/>
  <c r="J41" i="4"/>
  <c r="K41" i="4"/>
  <c r="L41" i="4"/>
  <c r="M41" i="4"/>
  <c r="J42" i="4"/>
  <c r="K42" i="4"/>
  <c r="L42" i="4"/>
  <c r="M42" i="4"/>
  <c r="J43" i="4"/>
  <c r="K43" i="4"/>
  <c r="L43" i="4"/>
  <c r="M43" i="4"/>
  <c r="J44" i="4"/>
  <c r="K44" i="4"/>
  <c r="L44" i="4"/>
  <c r="M44" i="4"/>
  <c r="J45" i="4"/>
  <c r="K45" i="4"/>
  <c r="L45" i="4"/>
  <c r="M45" i="4"/>
  <c r="J46" i="4"/>
  <c r="K46" i="4"/>
  <c r="L46" i="4"/>
  <c r="M46" i="4"/>
  <c r="J47" i="4"/>
  <c r="K47" i="4"/>
  <c r="L47" i="4"/>
  <c r="M47" i="4"/>
  <c r="J48" i="4"/>
  <c r="K48" i="4"/>
  <c r="L48" i="4"/>
  <c r="M48" i="4"/>
  <c r="J49" i="4"/>
  <c r="K49" i="4"/>
  <c r="L49" i="4"/>
  <c r="M49" i="4"/>
  <c r="J50" i="4"/>
  <c r="K50" i="4"/>
  <c r="L50" i="4"/>
  <c r="M50" i="4"/>
  <c r="J51" i="4"/>
  <c r="K51" i="4"/>
  <c r="L51" i="4"/>
  <c r="M51" i="4"/>
  <c r="J52" i="4"/>
  <c r="K52" i="4"/>
  <c r="L52" i="4"/>
  <c r="M52" i="4"/>
  <c r="J53" i="4"/>
  <c r="K53" i="4"/>
  <c r="L53" i="4"/>
  <c r="M53" i="4"/>
  <c r="J54" i="4"/>
  <c r="K54" i="4"/>
  <c r="L54" i="4"/>
  <c r="M54" i="4"/>
  <c r="J55" i="4"/>
  <c r="K55" i="4"/>
  <c r="L55" i="4"/>
  <c r="M55" i="4"/>
  <c r="J56" i="4"/>
  <c r="K56" i="4"/>
  <c r="L56" i="4"/>
  <c r="M56" i="4"/>
  <c r="J57" i="4"/>
  <c r="K57" i="4"/>
  <c r="L57" i="4"/>
  <c r="M57" i="4"/>
  <c r="J58" i="4"/>
  <c r="K58" i="4"/>
  <c r="L58" i="4"/>
  <c r="M58" i="4"/>
  <c r="J59" i="4"/>
  <c r="K59" i="4"/>
  <c r="L59" i="4"/>
  <c r="M59" i="4"/>
  <c r="J60" i="4"/>
  <c r="K60" i="4"/>
  <c r="L60" i="4"/>
  <c r="M60" i="4"/>
  <c r="J61" i="4"/>
  <c r="K61" i="4"/>
  <c r="L61" i="4"/>
  <c r="M61" i="4"/>
  <c r="J62" i="4"/>
  <c r="K62" i="4"/>
  <c r="L62" i="4"/>
  <c r="M62" i="4"/>
  <c r="J63" i="4"/>
  <c r="K63" i="4"/>
  <c r="L63" i="4"/>
  <c r="M63" i="4"/>
  <c r="J64" i="4"/>
  <c r="K64" i="4"/>
  <c r="L64" i="4"/>
  <c r="M64" i="4"/>
  <c r="J65" i="4"/>
  <c r="K65" i="4"/>
  <c r="L65" i="4"/>
  <c r="M65" i="4"/>
  <c r="J66" i="4"/>
  <c r="K66" i="4"/>
  <c r="L66" i="4"/>
  <c r="M66" i="4"/>
  <c r="M2" i="4"/>
  <c r="L2" i="4"/>
  <c r="K2" i="4"/>
  <c r="J2" i="4"/>
  <c r="N41" i="1"/>
  <c r="N16" i="1"/>
  <c r="N14" i="1"/>
  <c r="N66" i="1"/>
  <c r="N56" i="1"/>
  <c r="N25" i="1"/>
  <c r="N43" i="1"/>
  <c r="N26" i="1"/>
  <c r="N6" i="1"/>
  <c r="N57" i="1"/>
  <c r="N15" i="1"/>
  <c r="N65" i="1"/>
  <c r="N51" i="1"/>
  <c r="N27" i="1"/>
  <c r="N17" i="1"/>
  <c r="N39" i="1"/>
  <c r="N28" i="1"/>
  <c r="N29" i="1"/>
  <c r="N18" i="1"/>
  <c r="N62" i="1"/>
  <c r="N44" i="1"/>
  <c r="N10" i="1"/>
  <c r="N7" i="1"/>
  <c r="N37" i="1"/>
  <c r="N19" i="1"/>
  <c r="N40" i="1"/>
  <c r="N5" i="1"/>
  <c r="N47" i="1"/>
  <c r="N20" i="1"/>
  <c r="N61" i="1"/>
  <c r="N52" i="1"/>
  <c r="N45" i="1"/>
  <c r="N50" i="1"/>
  <c r="N11" i="1"/>
  <c r="N46" i="1"/>
  <c r="N42" i="1"/>
  <c r="N53" i="1"/>
  <c r="N30" i="1"/>
  <c r="N21" i="1"/>
  <c r="N25" i="4" s="1"/>
  <c r="N49" i="1"/>
  <c r="N22" i="1"/>
  <c r="N26" i="4" s="1"/>
  <c r="N63" i="1"/>
  <c r="N23" i="1"/>
  <c r="N27" i="4" s="1"/>
  <c r="N31" i="1"/>
  <c r="N32" i="1"/>
  <c r="N64" i="1"/>
  <c r="N33" i="1"/>
  <c r="N58" i="1"/>
  <c r="N41" i="4" s="1"/>
  <c r="N8" i="1"/>
  <c r="N10" i="4" s="1"/>
  <c r="N67" i="1"/>
  <c r="N61" i="4" s="1"/>
  <c r="N48" i="1"/>
  <c r="N60" i="1"/>
  <c r="N47" i="4" s="1"/>
  <c r="N34" i="1"/>
  <c r="N42" i="4" s="1"/>
  <c r="N54" i="1"/>
  <c r="N35" i="1"/>
  <c r="N43" i="4" s="1"/>
  <c r="N9" i="1"/>
  <c r="N56" i="4" s="1"/>
  <c r="N3" i="1"/>
  <c r="N59" i="1"/>
  <c r="N44" i="4" s="1"/>
  <c r="N12" i="1"/>
  <c r="N15" i="4" s="1"/>
  <c r="N38" i="1"/>
  <c r="N36" i="1"/>
  <c r="N45" i="4" s="1"/>
  <c r="N55" i="1"/>
  <c r="N16" i="4" s="1"/>
  <c r="N13" i="1"/>
  <c r="N17" i="4" s="1"/>
  <c r="N24" i="1"/>
  <c r="N28" i="4" s="1"/>
  <c r="N4" i="1"/>
  <c r="N4" i="4" s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2" i="4"/>
  <c r="I3" i="1"/>
  <c r="I4" i="1"/>
  <c r="I5" i="1"/>
  <c r="I6" i="1"/>
  <c r="I51" i="1"/>
  <c r="I7" i="1"/>
  <c r="I8" i="1"/>
  <c r="I10" i="1"/>
  <c r="I11" i="1"/>
  <c r="I53" i="1"/>
  <c r="I54" i="1"/>
  <c r="I12" i="1"/>
  <c r="I55" i="1"/>
  <c r="I13" i="1"/>
  <c r="I14" i="1"/>
  <c r="I15" i="1"/>
  <c r="I16" i="1"/>
  <c r="I17" i="1"/>
  <c r="I18" i="1"/>
  <c r="I19" i="1"/>
  <c r="I20" i="1"/>
  <c r="I21" i="1"/>
  <c r="I22" i="1"/>
  <c r="I23" i="1"/>
  <c r="I24" i="1"/>
  <c r="I56" i="1"/>
  <c r="I25" i="1"/>
  <c r="I43" i="1"/>
  <c r="I26" i="1"/>
  <c r="I57" i="1"/>
  <c r="I27" i="1"/>
  <c r="I28" i="1"/>
  <c r="I29" i="1"/>
  <c r="I30" i="1"/>
  <c r="I31" i="1"/>
  <c r="I32" i="1"/>
  <c r="I33" i="1"/>
  <c r="I58" i="1"/>
  <c r="I34" i="1"/>
  <c r="I35" i="1"/>
  <c r="I59" i="1"/>
  <c r="I36" i="1"/>
  <c r="I37" i="1"/>
  <c r="I60" i="1"/>
  <c r="I38" i="1"/>
  <c r="I39" i="1"/>
  <c r="I40" i="1"/>
  <c r="I61" i="1"/>
  <c r="I41" i="1"/>
  <c r="I62" i="1"/>
  <c r="I42" i="1"/>
  <c r="I63" i="1"/>
  <c r="I9" i="1"/>
  <c r="I44" i="1"/>
  <c r="I64" i="1"/>
  <c r="I65" i="1"/>
  <c r="I66" i="1"/>
  <c r="I67" i="1"/>
  <c r="I45" i="1"/>
  <c r="I46" i="1"/>
  <c r="I48" i="1"/>
  <c r="I47" i="1"/>
  <c r="I49" i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2" i="4"/>
  <c r="P60" i="1"/>
  <c r="P54" i="1"/>
  <c r="P59" i="1"/>
  <c r="P55" i="1"/>
  <c r="P62" i="1"/>
  <c r="P4" i="1"/>
  <c r="P41" i="1"/>
  <c r="P16" i="1"/>
  <c r="P14" i="1"/>
  <c r="P66" i="1"/>
  <c r="P56" i="1"/>
  <c r="P25" i="1"/>
  <c r="P43" i="1"/>
  <c r="P26" i="1"/>
  <c r="P6" i="1"/>
  <c r="P57" i="1"/>
  <c r="P15" i="1"/>
  <c r="P65" i="1"/>
  <c r="P51" i="1"/>
  <c r="P27" i="1"/>
  <c r="P17" i="1"/>
  <c r="P39" i="1"/>
  <c r="P28" i="1"/>
  <c r="P29" i="1"/>
  <c r="P18" i="1"/>
  <c r="P44" i="1"/>
  <c r="P10" i="1"/>
  <c r="P7" i="1"/>
  <c r="P37" i="1"/>
  <c r="P19" i="1"/>
  <c r="P40" i="1"/>
  <c r="P5" i="1"/>
  <c r="P47" i="1"/>
  <c r="P20" i="1"/>
  <c r="P61" i="1"/>
  <c r="P52" i="1"/>
  <c r="P45" i="1"/>
  <c r="P50" i="1"/>
  <c r="P11" i="1"/>
  <c r="P46" i="1"/>
  <c r="P42" i="1"/>
  <c r="P53" i="1"/>
  <c r="P30" i="1"/>
  <c r="P21" i="1"/>
  <c r="P49" i="1"/>
  <c r="P22" i="1"/>
  <c r="P63" i="1"/>
  <c r="P23" i="1"/>
  <c r="P31" i="1"/>
  <c r="P32" i="1"/>
  <c r="P64" i="1"/>
  <c r="P33" i="1"/>
  <c r="P58" i="1"/>
  <c r="P8" i="1"/>
  <c r="P67" i="1"/>
  <c r="P48" i="1"/>
  <c r="P34" i="1"/>
  <c r="P35" i="1"/>
  <c r="P9" i="1"/>
  <c r="P3" i="1"/>
  <c r="P12" i="1"/>
  <c r="P38" i="1"/>
  <c r="P63" i="4" s="1"/>
  <c r="P36" i="1"/>
  <c r="P13" i="1"/>
  <c r="P24" i="1"/>
  <c r="B67" i="4" l="1"/>
  <c r="C67" i="4"/>
  <c r="D67" i="4"/>
  <c r="E67" i="4"/>
  <c r="F67" i="4"/>
  <c r="G67" i="4"/>
  <c r="H67" i="4"/>
  <c r="N24" i="4"/>
  <c r="N50" i="4"/>
  <c r="N67" i="4"/>
  <c r="N3" i="4"/>
  <c r="N58" i="4"/>
  <c r="N63" i="4"/>
  <c r="N62" i="4"/>
  <c r="N48" i="4"/>
  <c r="N66" i="4"/>
  <c r="N12" i="4"/>
  <c r="N51" i="4"/>
  <c r="N64" i="4"/>
  <c r="N8" i="4"/>
  <c r="N14" i="4"/>
  <c r="N65" i="4"/>
  <c r="N40" i="4"/>
  <c r="N39" i="4"/>
  <c r="N38" i="4"/>
  <c r="N55" i="4"/>
  <c r="N37" i="4"/>
  <c r="N13" i="4"/>
  <c r="N54" i="4"/>
  <c r="N2" i="4"/>
  <c r="N9" i="4"/>
  <c r="N5" i="4"/>
  <c r="N23" i="4"/>
  <c r="N46" i="4"/>
  <c r="N11" i="4"/>
  <c r="N57" i="4"/>
  <c r="N53" i="4"/>
  <c r="N22" i="4"/>
  <c r="N36" i="4"/>
  <c r="N35" i="4"/>
  <c r="N49" i="4"/>
  <c r="N21" i="4"/>
  <c r="N34" i="4"/>
  <c r="N7" i="4"/>
  <c r="N59" i="4"/>
  <c r="N19" i="4"/>
  <c r="N33" i="4"/>
  <c r="N6" i="4"/>
  <c r="N32" i="4"/>
  <c r="N31" i="4"/>
  <c r="N30" i="4"/>
  <c r="N29" i="4"/>
  <c r="N60" i="4"/>
  <c r="N18" i="4"/>
  <c r="N20" i="4"/>
  <c r="N52" i="4"/>
  <c r="P64" i="4"/>
  <c r="P66" i="4"/>
  <c r="B66" i="4"/>
  <c r="C66" i="4"/>
  <c r="D66" i="4"/>
  <c r="E66" i="4"/>
  <c r="F66" i="4"/>
  <c r="G66" i="4"/>
  <c r="H66" i="4"/>
  <c r="P65" i="4"/>
  <c r="B65" i="4"/>
  <c r="C65" i="4"/>
  <c r="D65" i="4"/>
  <c r="E65" i="4"/>
  <c r="F65" i="4"/>
  <c r="G65" i="4"/>
  <c r="H65" i="4"/>
  <c r="B64" i="4"/>
  <c r="C64" i="4"/>
  <c r="D64" i="4"/>
  <c r="E64" i="4"/>
  <c r="F64" i="4"/>
  <c r="G64" i="4"/>
  <c r="H64" i="4"/>
  <c r="N2" i="7"/>
  <c r="A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I67" i="4" l="1"/>
  <c r="I64" i="4"/>
  <c r="I65" i="4"/>
  <c r="I66" i="4"/>
  <c r="B7" i="4" l="1"/>
  <c r="E29" i="4"/>
  <c r="C29" i="4"/>
  <c r="G29" i="4"/>
  <c r="D29" i="4"/>
  <c r="H29" i="4"/>
  <c r="B29" i="4"/>
  <c r="F29" i="4"/>
  <c r="H39" i="4"/>
  <c r="G39" i="4"/>
  <c r="D39" i="4"/>
  <c r="F39" i="4"/>
  <c r="E39" i="4"/>
  <c r="C39" i="4"/>
  <c r="B39" i="4"/>
  <c r="D31" i="4"/>
  <c r="C31" i="4"/>
  <c r="E31" i="4"/>
  <c r="H31" i="4"/>
  <c r="B31" i="4"/>
  <c r="G31" i="4"/>
  <c r="F31" i="4"/>
  <c r="F52" i="4"/>
  <c r="D52" i="4"/>
  <c r="B52" i="4"/>
  <c r="C52" i="4"/>
  <c r="H52" i="4"/>
  <c r="E52" i="4"/>
  <c r="G52" i="4"/>
  <c r="H60" i="4"/>
  <c r="F60" i="4"/>
  <c r="D60" i="4"/>
  <c r="B60" i="4"/>
  <c r="C60" i="4"/>
  <c r="E60" i="4"/>
  <c r="G60" i="4"/>
  <c r="H54" i="4"/>
  <c r="F54" i="4"/>
  <c r="E54" i="4"/>
  <c r="B54" i="4"/>
  <c r="D54" i="4"/>
  <c r="C54" i="4"/>
  <c r="G54" i="4"/>
  <c r="F4" i="4"/>
  <c r="G4" i="4"/>
  <c r="E4" i="4"/>
  <c r="B4" i="4"/>
  <c r="D4" i="4"/>
  <c r="C4" i="4"/>
  <c r="H4" i="4"/>
  <c r="F37" i="4"/>
  <c r="G37" i="4"/>
  <c r="C37" i="4"/>
  <c r="D37" i="4"/>
  <c r="H37" i="4"/>
  <c r="E37" i="4"/>
  <c r="B37" i="4"/>
  <c r="E10" i="4"/>
  <c r="B10" i="4"/>
  <c r="F10" i="4"/>
  <c r="G10" i="4"/>
  <c r="D10" i="4"/>
  <c r="C10" i="4"/>
  <c r="H10" i="4"/>
  <c r="B22" i="4"/>
  <c r="C22" i="4"/>
  <c r="H22" i="4"/>
  <c r="G22" i="4"/>
  <c r="E22" i="4"/>
  <c r="F22" i="4"/>
  <c r="D22" i="4"/>
  <c r="G30" i="4"/>
  <c r="E30" i="4"/>
  <c r="H30" i="4"/>
  <c r="F30" i="4"/>
  <c r="D30" i="4"/>
  <c r="B30" i="4"/>
  <c r="C30" i="4"/>
  <c r="B50" i="4"/>
  <c r="F33" i="4"/>
  <c r="B33" i="4"/>
  <c r="D33" i="4"/>
  <c r="C33" i="4"/>
  <c r="G33" i="4"/>
  <c r="H33" i="4"/>
  <c r="E33" i="4"/>
  <c r="B6" i="4"/>
  <c r="E16" i="4"/>
  <c r="H16" i="4"/>
  <c r="G16" i="4"/>
  <c r="F16" i="4"/>
  <c r="C16" i="4"/>
  <c r="D16" i="4"/>
  <c r="B16" i="4"/>
  <c r="G3" i="4"/>
  <c r="F3" i="4"/>
  <c r="E3" i="4"/>
  <c r="H3" i="4"/>
  <c r="B3" i="4"/>
  <c r="C3" i="4"/>
  <c r="D3" i="4"/>
  <c r="D40" i="4"/>
  <c r="B40" i="4"/>
  <c r="C40" i="4"/>
  <c r="E40" i="4"/>
  <c r="H40" i="4"/>
  <c r="F40" i="4"/>
  <c r="G40" i="4"/>
  <c r="B42" i="4"/>
  <c r="C42" i="4"/>
  <c r="H42" i="4"/>
  <c r="G42" i="4"/>
  <c r="F42" i="4"/>
  <c r="D42" i="4"/>
  <c r="E42" i="4"/>
  <c r="B41" i="4"/>
  <c r="D41" i="4"/>
  <c r="E41" i="4"/>
  <c r="H41" i="4"/>
  <c r="C41" i="4"/>
  <c r="F41" i="4"/>
  <c r="G41" i="4"/>
  <c r="E57" i="4"/>
  <c r="C57" i="4"/>
  <c r="H57" i="4"/>
  <c r="F57" i="4"/>
  <c r="D57" i="4"/>
  <c r="G57" i="4"/>
  <c r="B57" i="4"/>
  <c r="F12" i="4"/>
  <c r="E12" i="4"/>
  <c r="D12" i="4"/>
  <c r="B12" i="4"/>
  <c r="C12" i="4"/>
  <c r="H12" i="4"/>
  <c r="G12" i="4"/>
  <c r="B48" i="4"/>
  <c r="C48" i="4"/>
  <c r="D48" i="4"/>
  <c r="H48" i="4"/>
  <c r="G48" i="4"/>
  <c r="F48" i="4"/>
  <c r="E48" i="4"/>
  <c r="B62" i="4"/>
  <c r="F62" i="4"/>
  <c r="E62" i="4"/>
  <c r="H62" i="4"/>
  <c r="C62" i="4"/>
  <c r="D62" i="4"/>
  <c r="G62" i="4"/>
  <c r="F61" i="4"/>
  <c r="D61" i="4"/>
  <c r="B61" i="4"/>
  <c r="G61" i="4"/>
  <c r="C61" i="4"/>
  <c r="E61" i="4"/>
  <c r="H61" i="4"/>
  <c r="F44" i="4"/>
  <c r="D44" i="4"/>
  <c r="E44" i="4"/>
  <c r="G44" i="4"/>
  <c r="B44" i="4"/>
  <c r="C44" i="4"/>
  <c r="H44" i="4"/>
  <c r="F28" i="4"/>
  <c r="G28" i="4"/>
  <c r="H28" i="4"/>
  <c r="B28" i="4"/>
  <c r="E28" i="4"/>
  <c r="C28" i="4"/>
  <c r="D28" i="4"/>
  <c r="B51" i="4"/>
  <c r="H19" i="4"/>
  <c r="G19" i="4"/>
  <c r="B19" i="4"/>
  <c r="D19" i="4"/>
  <c r="C19" i="4"/>
  <c r="F19" i="4"/>
  <c r="E19" i="4"/>
  <c r="F49" i="4"/>
  <c r="D49" i="4"/>
  <c r="E49" i="4"/>
  <c r="B49" i="4"/>
  <c r="H49" i="4"/>
  <c r="G49" i="4"/>
  <c r="C49" i="4"/>
  <c r="H13" i="4"/>
  <c r="G13" i="4"/>
  <c r="C13" i="4"/>
  <c r="B13" i="4"/>
  <c r="E13" i="4"/>
  <c r="F13" i="4"/>
  <c r="D13" i="4"/>
  <c r="G38" i="4"/>
  <c r="H38" i="4"/>
  <c r="E38" i="4"/>
  <c r="F38" i="4"/>
  <c r="D38" i="4"/>
  <c r="B38" i="4"/>
  <c r="C38" i="4"/>
  <c r="H56" i="4"/>
  <c r="E56" i="4"/>
  <c r="B56" i="4"/>
  <c r="C56" i="4"/>
  <c r="G56" i="4"/>
  <c r="F56" i="4"/>
  <c r="D56" i="4"/>
  <c r="H59" i="4"/>
  <c r="D59" i="4"/>
  <c r="F59" i="4"/>
  <c r="G59" i="4"/>
  <c r="B59" i="4"/>
  <c r="C59" i="4"/>
  <c r="E59" i="4"/>
  <c r="D25" i="4"/>
  <c r="F25" i="4"/>
  <c r="C25" i="4"/>
  <c r="G25" i="4"/>
  <c r="B25" i="4"/>
  <c r="E25" i="4"/>
  <c r="H25" i="4"/>
  <c r="H9" i="4"/>
  <c r="F9" i="4"/>
  <c r="B9" i="4"/>
  <c r="C9" i="4"/>
  <c r="E9" i="4"/>
  <c r="D9" i="4"/>
  <c r="G9" i="4"/>
  <c r="D47" i="4"/>
  <c r="C47" i="4"/>
  <c r="F47" i="4"/>
  <c r="H47" i="4"/>
  <c r="E47" i="4"/>
  <c r="B47" i="4"/>
  <c r="G47" i="4"/>
  <c r="C21" i="4"/>
  <c r="H21" i="4"/>
  <c r="E21" i="4"/>
  <c r="D21" i="4"/>
  <c r="B21" i="4"/>
  <c r="G21" i="4"/>
  <c r="F21" i="4"/>
  <c r="B23" i="4"/>
  <c r="E23" i="4"/>
  <c r="H23" i="4"/>
  <c r="C23" i="4"/>
  <c r="G23" i="4"/>
  <c r="F23" i="4"/>
  <c r="D23" i="4"/>
  <c r="E7" i="4"/>
  <c r="H7" i="4"/>
  <c r="G7" i="4"/>
  <c r="C7" i="4"/>
  <c r="D7" i="4"/>
  <c r="F7" i="4"/>
  <c r="E27" i="4"/>
  <c r="D27" i="4"/>
  <c r="G27" i="4"/>
  <c r="H27" i="4"/>
  <c r="F27" i="4"/>
  <c r="B27" i="4"/>
  <c r="C27" i="4"/>
  <c r="F50" i="4"/>
  <c r="E50" i="4"/>
  <c r="C50" i="4"/>
  <c r="H50" i="4"/>
  <c r="G50" i="4"/>
  <c r="D50" i="4"/>
  <c r="G18" i="4"/>
  <c r="E18" i="4"/>
  <c r="D18" i="4"/>
  <c r="H18" i="4"/>
  <c r="C18" i="4"/>
  <c r="F18" i="4"/>
  <c r="B18" i="4"/>
  <c r="D45" i="4"/>
  <c r="F45" i="4"/>
  <c r="G45" i="4"/>
  <c r="H45" i="4"/>
  <c r="B45" i="4"/>
  <c r="C45" i="4"/>
  <c r="E45" i="4"/>
  <c r="H32" i="4"/>
  <c r="G32" i="4"/>
  <c r="B32" i="4"/>
  <c r="E32" i="4"/>
  <c r="D32" i="4"/>
  <c r="C32" i="4"/>
  <c r="F32" i="4"/>
  <c r="F17" i="4"/>
  <c r="G17" i="4"/>
  <c r="E17" i="4"/>
  <c r="D17" i="4"/>
  <c r="H17" i="4"/>
  <c r="B17" i="4"/>
  <c r="C17" i="4"/>
  <c r="C53" i="4"/>
  <c r="E53" i="4"/>
  <c r="B53" i="4"/>
  <c r="H53" i="4"/>
  <c r="G53" i="4"/>
  <c r="F53" i="4"/>
  <c r="D53" i="4"/>
  <c r="H58" i="4"/>
  <c r="F58" i="4"/>
  <c r="E58" i="4"/>
  <c r="D58" i="4"/>
  <c r="G58" i="4"/>
  <c r="B58" i="4"/>
  <c r="C58" i="4"/>
  <c r="C5" i="4"/>
  <c r="E5" i="4"/>
  <c r="H5" i="4"/>
  <c r="G5" i="4"/>
  <c r="F5" i="4"/>
  <c r="B5" i="4"/>
  <c r="D5" i="4"/>
  <c r="D51" i="4"/>
  <c r="H51" i="4"/>
  <c r="F51" i="4"/>
  <c r="G51" i="4"/>
  <c r="E51" i="4"/>
  <c r="C51" i="4"/>
  <c r="B26" i="4"/>
  <c r="C26" i="4"/>
  <c r="E26" i="4"/>
  <c r="H26" i="4"/>
  <c r="G26" i="4"/>
  <c r="D26" i="4"/>
  <c r="F26" i="4"/>
  <c r="G55" i="4"/>
  <c r="F55" i="4"/>
  <c r="D55" i="4"/>
  <c r="H55" i="4"/>
  <c r="E55" i="4"/>
  <c r="B55" i="4"/>
  <c r="C55" i="4"/>
  <c r="G63" i="4"/>
  <c r="F63" i="4"/>
  <c r="C63" i="4"/>
  <c r="H63" i="4"/>
  <c r="E63" i="4"/>
  <c r="B63" i="4"/>
  <c r="D63" i="4"/>
  <c r="H8" i="4"/>
  <c r="F8" i="4"/>
  <c r="D8" i="4"/>
  <c r="C8" i="4"/>
  <c r="E8" i="4"/>
  <c r="G8" i="4"/>
  <c r="B8" i="4"/>
  <c r="F11" i="4"/>
  <c r="E11" i="4"/>
  <c r="H11" i="4"/>
  <c r="D11" i="4"/>
  <c r="G11" i="4"/>
  <c r="C11" i="4"/>
  <c r="B11" i="4"/>
  <c r="C35" i="4"/>
  <c r="E35" i="4"/>
  <c r="F35" i="4"/>
  <c r="D35" i="4"/>
  <c r="H35" i="4"/>
  <c r="G35" i="4"/>
  <c r="B35" i="4"/>
  <c r="E36" i="4"/>
  <c r="G36" i="4"/>
  <c r="F36" i="4"/>
  <c r="D36" i="4"/>
  <c r="C36" i="4"/>
  <c r="H36" i="4"/>
  <c r="B36" i="4"/>
  <c r="E46" i="4"/>
  <c r="H46" i="4"/>
  <c r="D46" i="4"/>
  <c r="C46" i="4"/>
  <c r="G46" i="4"/>
  <c r="F46" i="4"/>
  <c r="B46" i="4"/>
  <c r="F15" i="4"/>
  <c r="G15" i="4"/>
  <c r="C15" i="4"/>
  <c r="D15" i="4"/>
  <c r="E15" i="4"/>
  <c r="H15" i="4"/>
  <c r="B15" i="4"/>
  <c r="D24" i="4"/>
  <c r="B24" i="4"/>
  <c r="G24" i="4"/>
  <c r="E24" i="4"/>
  <c r="H24" i="4"/>
  <c r="F24" i="4"/>
  <c r="C24" i="4"/>
  <c r="C14" i="4"/>
  <c r="H14" i="4"/>
  <c r="G14" i="4"/>
  <c r="B14" i="4"/>
  <c r="F14" i="4"/>
  <c r="E14" i="4"/>
  <c r="D14" i="4"/>
  <c r="H6" i="4"/>
  <c r="F6" i="4"/>
  <c r="C6" i="4"/>
  <c r="E6" i="4"/>
  <c r="G6" i="4"/>
  <c r="D6" i="4"/>
  <c r="C34" i="4"/>
  <c r="F34" i="4"/>
  <c r="D34" i="4"/>
  <c r="B34" i="4"/>
  <c r="G34" i="4"/>
  <c r="H34" i="4"/>
  <c r="E34" i="4"/>
  <c r="C2" i="4"/>
  <c r="G2" i="4"/>
  <c r="E2" i="4"/>
  <c r="H2" i="4"/>
  <c r="D2" i="4"/>
  <c r="F2" i="4"/>
  <c r="E20" i="4"/>
  <c r="F20" i="4"/>
  <c r="D20" i="4"/>
  <c r="C20" i="4"/>
  <c r="H20" i="4"/>
  <c r="G20" i="4"/>
  <c r="B20" i="4"/>
  <c r="H43" i="4"/>
  <c r="E43" i="4"/>
  <c r="G43" i="4"/>
  <c r="C43" i="4"/>
  <c r="F43" i="4"/>
  <c r="D43" i="4"/>
  <c r="B43" i="4"/>
  <c r="A2" i="4"/>
  <c r="I57" i="4" l="1"/>
  <c r="I12" i="4"/>
  <c r="I37" i="4"/>
  <c r="I33" i="4"/>
  <c r="I39" i="4"/>
  <c r="I20" i="4"/>
  <c r="I36" i="4"/>
  <c r="I11" i="4"/>
  <c r="I18" i="4"/>
  <c r="I27" i="4"/>
  <c r="I32" i="4"/>
  <c r="I13" i="4"/>
  <c r="I42" i="4"/>
  <c r="I9" i="4"/>
  <c r="I4" i="4"/>
  <c r="I62" i="4"/>
  <c r="I31" i="4"/>
  <c r="I29" i="4"/>
  <c r="I49" i="4"/>
  <c r="I10" i="4"/>
  <c r="I7" i="4"/>
  <c r="I25" i="4"/>
  <c r="I61" i="4"/>
  <c r="I56" i="4"/>
  <c r="I52" i="4"/>
  <c r="I43" i="4"/>
  <c r="I46" i="4"/>
  <c r="I35" i="4"/>
  <c r="I8" i="4"/>
  <c r="I26" i="4"/>
  <c r="I58" i="4"/>
  <c r="I17" i="4"/>
  <c r="I44" i="4"/>
  <c r="I14" i="4"/>
  <c r="I40" i="4"/>
  <c r="I34" i="4"/>
  <c r="I63" i="4"/>
  <c r="I47" i="4"/>
  <c r="I55" i="4"/>
  <c r="I59" i="4"/>
  <c r="I38" i="4"/>
  <c r="I30" i="4"/>
  <c r="I5" i="4"/>
  <c r="I50" i="4"/>
  <c r="I3" i="4"/>
  <c r="I53" i="4"/>
  <c r="I48" i="4"/>
  <c r="I45" i="4"/>
  <c r="I21" i="4"/>
  <c r="I16" i="4"/>
  <c r="I28" i="4"/>
  <c r="I23" i="4"/>
  <c r="I54" i="4"/>
  <c r="I19" i="4"/>
  <c r="I6" i="4"/>
  <c r="I24" i="4"/>
  <c r="I22" i="4"/>
  <c r="I51" i="4"/>
  <c r="I60" i="4"/>
  <c r="I15" i="4"/>
  <c r="I41" i="4"/>
  <c r="B2" i="4"/>
  <c r="I2" i="4" s="1"/>
  <c r="I50" i="1"/>
</calcChain>
</file>

<file path=xl/sharedStrings.xml><?xml version="1.0" encoding="utf-8"?>
<sst xmlns="http://schemas.openxmlformats.org/spreadsheetml/2006/main" count="988" uniqueCount="148">
  <si>
    <t>Name</t>
  </si>
  <si>
    <t>Monday</t>
  </si>
  <si>
    <t>Tuesday</t>
  </si>
  <si>
    <t>Wednesday</t>
  </si>
  <si>
    <t>Thursday</t>
  </si>
  <si>
    <t>Friday</t>
  </si>
  <si>
    <t>Saturday</t>
  </si>
  <si>
    <t>Sunday</t>
  </si>
  <si>
    <t>Rest Day</t>
  </si>
  <si>
    <t>Break 1</t>
  </si>
  <si>
    <t>Break 2</t>
  </si>
  <si>
    <t>Lunch</t>
  </si>
  <si>
    <t>Break 3</t>
  </si>
  <si>
    <t>Supervisor</t>
  </si>
  <si>
    <t>EST SHIFT</t>
  </si>
  <si>
    <t>Column1</t>
  </si>
  <si>
    <t>Rey Fernandez</t>
  </si>
  <si>
    <t>00:00 - 11:00</t>
  </si>
  <si>
    <t>OFF</t>
  </si>
  <si>
    <t>Rayniel Ingal</t>
  </si>
  <si>
    <t>01:00 - 12:00</t>
  </si>
  <si>
    <t>Aireen Balanon</t>
  </si>
  <si>
    <t>02:00 - 13:00</t>
  </si>
  <si>
    <t>Jeffryl Joe Pardillo</t>
  </si>
  <si>
    <t>03:00 - 14:00</t>
  </si>
  <si>
    <t>Chris Paul Dalut</t>
  </si>
  <si>
    <t>04:00 - 15:00</t>
  </si>
  <si>
    <t>Jackyleen Caballero</t>
  </si>
  <si>
    <t>06:00 - 17:00</t>
  </si>
  <si>
    <t>Mark Raymond Mangaser Jr</t>
  </si>
  <si>
    <t>Raquela Nicole Lareta</t>
  </si>
  <si>
    <t>Giselle Florendo</t>
  </si>
  <si>
    <t>07:00 - 18:00</t>
  </si>
  <si>
    <t>Joemie Ann Benedicto</t>
  </si>
  <si>
    <t>Roy Sagales</t>
  </si>
  <si>
    <t>08:00 - 19:00</t>
  </si>
  <si>
    <t>Shiela Mae Laroa</t>
  </si>
  <si>
    <t>Antonio Agda</t>
  </si>
  <si>
    <t>08:30 - 19:30</t>
  </si>
  <si>
    <t>Cleendy Cerilla</t>
  </si>
  <si>
    <t>Andrei Mark Llenos</t>
  </si>
  <si>
    <t>09:00 - 20:00</t>
  </si>
  <si>
    <t>Dairenn Angel Adarne</t>
  </si>
  <si>
    <t>Eljhon Mar Cabalida</t>
  </si>
  <si>
    <t>James Matthew Santos</t>
  </si>
  <si>
    <t>Jeycel Roxas</t>
  </si>
  <si>
    <t>Juvy Labong</t>
  </si>
  <si>
    <t>Kenneth Oribello</t>
  </si>
  <si>
    <t>Lanz Jason Medallo</t>
  </si>
  <si>
    <t>William Nava</t>
  </si>
  <si>
    <t>Benedict Ermitano</t>
  </si>
  <si>
    <t>10:00 - 21:00</t>
  </si>
  <si>
    <t>Charisse Capuno</t>
  </si>
  <si>
    <t>Cyril Tagalog</t>
  </si>
  <si>
    <t>Eduardo Jacinto</t>
  </si>
  <si>
    <t>Elijah Jeremy Racca</t>
  </si>
  <si>
    <t>Joshua Mendoza</t>
  </si>
  <si>
    <t>Lee Joseph Agbanlog</t>
  </si>
  <si>
    <t>Lovelyn Nicole Magcuyao</t>
  </si>
  <si>
    <t>Marielle Dakila</t>
  </si>
  <si>
    <t>Michelle Corbeta</t>
  </si>
  <si>
    <t>Patricia Gilan Villas</t>
  </si>
  <si>
    <t>Samantha Yvonne Dela Costa</t>
  </si>
  <si>
    <t>James Kim Malatag</t>
  </si>
  <si>
    <t>11:00 - 22:00</t>
  </si>
  <si>
    <t>Sam Supnet</t>
  </si>
  <si>
    <t>11:30 - 22:30</t>
  </si>
  <si>
    <t>Dharlyn Grej Estillore</t>
  </si>
  <si>
    <t>12:00 - 23:00</t>
  </si>
  <si>
    <t>Jayson Pescadero</t>
  </si>
  <si>
    <t>Alec Christian Palabay</t>
  </si>
  <si>
    <t>14:00 - 01:00</t>
  </si>
  <si>
    <t>Josephraim Lamoste</t>
  </si>
  <si>
    <t>Carlos Kiamco</t>
  </si>
  <si>
    <t>18:00 - 05:00</t>
  </si>
  <si>
    <t>France Bajao</t>
  </si>
  <si>
    <t>19:00 - 06:00</t>
  </si>
  <si>
    <t>Jieleen Villegas</t>
  </si>
  <si>
    <t>22:00 - 09:00</t>
  </si>
  <si>
    <t>Joseph Brian Nagor</t>
  </si>
  <si>
    <t>Jesse Owen Rama</t>
  </si>
  <si>
    <t>23:00 - 10:00</t>
  </si>
  <si>
    <t>Mary Joy Delos Santos</t>
  </si>
  <si>
    <t>Kathleen Melecio</t>
  </si>
  <si>
    <t>23:30 - 10:30</t>
  </si>
  <si>
    <t>Joanah Carl Anoling</t>
  </si>
  <si>
    <t>Cynthia Anosa</t>
  </si>
  <si>
    <t>05:00 - 16:00</t>
  </si>
  <si>
    <t>Jhonrey Jotojot</t>
  </si>
  <si>
    <t>Joshua Bagaporo</t>
  </si>
  <si>
    <t>Pat Marlou Tanola</t>
  </si>
  <si>
    <t>Sean Gabriel Ramirez</t>
  </si>
  <si>
    <t>Azilean Khrista Almazan</t>
  </si>
  <si>
    <t>Christian Lajera</t>
  </si>
  <si>
    <t>Marjon Gaebrielle Albay</t>
  </si>
  <si>
    <t>Rona Rotchel Moniva</t>
  </si>
  <si>
    <t>Mhar Anthony Juezan</t>
  </si>
  <si>
    <t>Jhanelle Jane Didato</t>
  </si>
  <si>
    <t>13:00 - 00:00</t>
  </si>
  <si>
    <t>Erica Mae Villamor</t>
  </si>
  <si>
    <t>Kirby Santos</t>
  </si>
  <si>
    <t>Manueleth Nardo</t>
  </si>
  <si>
    <t>19:30 - 06:30</t>
  </si>
  <si>
    <t>Crisma Vic Melecio</t>
  </si>
  <si>
    <t>20:00 - 07:00</t>
  </si>
  <si>
    <t>Aysha Sagira Macalandong</t>
  </si>
  <si>
    <t>21:00 - 08:00</t>
  </si>
  <si>
    <t>Mary Angelie Fajardo</t>
  </si>
  <si>
    <t>PH SHIFT</t>
  </si>
  <si>
    <t>OFFSET</t>
  </si>
  <si>
    <t>Shift EST</t>
  </si>
  <si>
    <t>Remmo Panaligan</t>
  </si>
  <si>
    <t>Charmane Briones</t>
  </si>
  <si>
    <t>Ash Belarmino</t>
  </si>
  <si>
    <t>Christopher Rodas</t>
  </si>
  <si>
    <t>Michael Dominguez</t>
  </si>
  <si>
    <t>Anmecha Valencia</t>
  </si>
  <si>
    <t>Cesthel Narciso</t>
  </si>
  <si>
    <t>Eljohn Mar Cabalida</t>
  </si>
  <si>
    <t>Jewel Lei Sara</t>
  </si>
  <si>
    <t xml:space="preserve">Michael Lajato </t>
  </si>
  <si>
    <t>Chris Borromeo</t>
  </si>
  <si>
    <t>Wiljen Keith Lim</t>
  </si>
  <si>
    <t>Shift</t>
  </si>
  <si>
    <t>NAME</t>
  </si>
  <si>
    <t>SUPERVISOR</t>
  </si>
  <si>
    <t>Manilyn Abellar</t>
  </si>
  <si>
    <t>April Cinco</t>
  </si>
  <si>
    <t>Christopher Borromeo</t>
  </si>
  <si>
    <t>Asleth Montemayor</t>
  </si>
  <si>
    <t>Brenda Lyn Degracia</t>
  </si>
  <si>
    <t>Contessa Cirujales</t>
  </si>
  <si>
    <t>Janice Martirez</t>
  </si>
  <si>
    <t>Jarrah Jane De Castro</t>
  </si>
  <si>
    <t>Jessica Mary Acuna</t>
  </si>
  <si>
    <t>Jhon Lloyd Camero</t>
  </si>
  <si>
    <t>Jose Saldy Rubio</t>
  </si>
  <si>
    <t>Jubell Matanguihan</t>
  </si>
  <si>
    <t>Kurt Abong</t>
  </si>
  <si>
    <t>Lyka Mae Basco</t>
  </si>
  <si>
    <t>Nelson Tamayo</t>
  </si>
  <si>
    <t>Ressan Resus</t>
  </si>
  <si>
    <t>Roel Gutay</t>
  </si>
  <si>
    <t>Anmheca Valencia</t>
  </si>
  <si>
    <t>Ronald Balitos</t>
  </si>
  <si>
    <t>Rossner Adonis</t>
  </si>
  <si>
    <t>Rudylyn Gay May Tabor</t>
  </si>
  <si>
    <t>Mon - Tue - 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</si>
</sst>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BFB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 tint="0.3999755851924192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5" tint="0.3999755851924192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0" fillId="2" borderId="0" xfId="0" applyFill="1"/>
    <xf numFmtId="20" fontId="0" fillId="0" borderId="0" xfId="0" applyNumberFormat="1"/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" fillId="0" borderId="7" xfId="0" applyFont="1" applyBorder="1"/>
    <xf numFmtId="20" fontId="2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4" borderId="7" xfId="0" applyFont="1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0" fontId="2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7" xfId="0" applyFont="1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1" fillId="0" borderId="8" xfId="0" applyFont="1" applyBorder="1"/>
    <xf numFmtId="0" fontId="0" fillId="0" borderId="9" xfId="0" applyBorder="1" applyAlignment="1">
      <alignment horizontal="center"/>
    </xf>
    <xf numFmtId="18" fontId="0" fillId="0" borderId="0" xfId="0" applyNumberFormat="1"/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1" xfId="0" applyFont="1" applyBorder="1"/>
    <xf numFmtId="0" fontId="1" fillId="0" borderId="13" xfId="0" applyFont="1" applyBorder="1"/>
    <xf numFmtId="0" fontId="1" fillId="0" borderId="9" xfId="0" applyFont="1" applyBorder="1"/>
    <xf numFmtId="0" fontId="1" fillId="0" borderId="5" xfId="0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0" fontId="2" fillId="0" borderId="3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20" fontId="2" fillId="0" borderId="13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9" xfId="0" applyBorder="1"/>
    <xf numFmtId="20" fontId="0" fillId="0" borderId="9" xfId="0" applyNumberFormat="1" applyBorder="1"/>
    <xf numFmtId="0" fontId="0" fillId="4" borderId="1" xfId="0" applyFill="1" applyBorder="1"/>
    <xf numFmtId="0" fontId="1" fillId="4" borderId="1" xfId="0" applyFont="1" applyFill="1" applyBorder="1"/>
    <xf numFmtId="20" fontId="0" fillId="4" borderId="1" xfId="0" applyNumberFormat="1" applyFill="1" applyBorder="1" applyAlignment="1">
      <alignment horizontal="center"/>
    </xf>
    <xf numFmtId="0" fontId="9" fillId="0" borderId="14" xfId="0" applyFont="1" applyBorder="1" applyAlignment="1">
      <alignment readingOrder="1"/>
    </xf>
    <xf numFmtId="0" fontId="9" fillId="0" borderId="15" xfId="0" applyFont="1" applyBorder="1" applyAlignment="1">
      <alignment readingOrder="1"/>
    </xf>
    <xf numFmtId="0" fontId="10" fillId="0" borderId="16" xfId="0" applyFont="1" applyBorder="1" applyAlignment="1">
      <alignment readingOrder="1"/>
    </xf>
    <xf numFmtId="0" fontId="10" fillId="0" borderId="17" xfId="0" applyFont="1" applyBorder="1" applyAlignment="1">
      <alignment readingOrder="1"/>
    </xf>
    <xf numFmtId="0" fontId="10" fillId="0" borderId="18" xfId="0" applyFont="1" applyBorder="1" applyAlignment="1">
      <alignment readingOrder="1"/>
    </xf>
    <xf numFmtId="0" fontId="10" fillId="0" borderId="19" xfId="0" applyFont="1" applyBorder="1" applyAlignment="1">
      <alignment readingOrder="1"/>
    </xf>
    <xf numFmtId="0" fontId="1" fillId="0" borderId="0" xfId="0" applyFont="1" applyBorder="1"/>
    <xf numFmtId="20" fontId="0" fillId="0" borderId="9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" fillId="6" borderId="1" xfId="0" applyFont="1" applyFill="1" applyBorder="1"/>
    <xf numFmtId="0" fontId="0" fillId="6" borderId="1" xfId="0" applyFont="1" applyFill="1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0" fontId="0" fillId="0" borderId="20" xfId="0" applyBorder="1"/>
    <xf numFmtId="20" fontId="2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51">
    <dxf>
      <fill>
        <patternFill>
          <bgColor theme="0" tint="-0.34998626667073579"/>
        </patternFill>
      </fill>
    </dxf>
    <dxf>
      <numFmt numFmtId="0" formatCode="General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0" formatCode="General"/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theme="5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 patternType="solid">
          <bgColor theme="2" tint="-9.9978637043366805E-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theme="5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BFA2A7-F67E-4B2A-A8BF-BEE95EA31C8C}" name="Table2" displayName="Table2" ref="A1:P67" totalsRowShown="0" headerRowDxfId="43" dataDxfId="42">
  <autoFilter ref="A1:P67" xr:uid="{7ABFA2A7-F67E-4B2A-A8BF-BEE95EA31C8C}"/>
  <sortState xmlns:xlrd2="http://schemas.microsoft.com/office/spreadsheetml/2017/richdata2" ref="A2:P67">
    <sortCondition ref="B1:B67"/>
  </sortState>
  <tableColumns count="16">
    <tableColumn id="1" xr3:uid="{311D3BBD-E613-4DFC-BAEE-EFBB3B28FB24}" name="Name"/>
    <tableColumn id="2" xr3:uid="{8F9001A5-53DA-4394-B0E5-25F630DB5BF6}" name="Monday" dataDxfId="41"/>
    <tableColumn id="3" xr3:uid="{3E5E1574-0687-42F8-83FC-FF1DC5A3A1CD}" name="Tuesday" dataDxfId="40"/>
    <tableColumn id="4" xr3:uid="{F68D4C7A-FCEC-416D-AFAD-938A63C9CBEF}" name="Wednesday" dataDxfId="39"/>
    <tableColumn id="5" xr3:uid="{1F93A4D0-18D3-489D-A117-3EA1B5FCDA6B}" name="Thursday" dataDxfId="38"/>
    <tableColumn id="6" xr3:uid="{F7EB6F67-1D2C-4168-B022-EBE1D0A8C53E}" name="Friday" dataDxfId="37"/>
    <tableColumn id="7" xr3:uid="{4468F089-19B5-46D6-B159-26D48BEE6069}" name="Saturday" dataDxfId="36"/>
    <tableColumn id="8" xr3:uid="{656D0C06-0D87-4AF0-92B8-E6F1E82CBC64}" name="Sunday" dataDxfId="35"/>
    <tableColumn id="9" xr3:uid="{B97D3317-68FD-4A57-885E-707D52D263B4}" name="Rest Day" dataDxfId="34">
      <calculatedColumnFormula>_xlfn.TEXTJOIN(" - ",TRUE,
IF(B2="OFF","Mon",""),
IF(C2="OFF","Tue",""),
IF(D2="OFF","Wed",""),
IF(E2="OFF","Thu",""),
IF(F2="OFF","Fri",""),
IF(G2="OFF","Sat",""),
IF(H2="OFF","Sun",""))</calculatedColumnFormula>
    </tableColumn>
    <tableColumn id="10" xr3:uid="{7E036D05-4624-4C4C-87AB-F7B6D9A8C0E4}" name="Break 1" dataDxfId="33"/>
    <tableColumn id="11" xr3:uid="{88924D9B-8678-4178-BEFB-215AA9009733}" name="Break 2" dataDxfId="32"/>
    <tableColumn id="12" xr3:uid="{C59CED7B-F5BE-4814-869E-CE877E479C6F}" name="Lunch" dataDxfId="31"/>
    <tableColumn id="13" xr3:uid="{D65400CD-D6ED-42E4-B248-2E26156D6E50}" name="Break 3" dataDxfId="30"/>
    <tableColumn id="14" xr3:uid="{CE201AE6-41C0-49DC-AEBC-553D2850C4E3}" name="Supervisor" dataDxfId="29">
      <calculatedColumnFormula>VLOOKUP(Table2[[#This Row],[Name]],ROSTER!A:B,2,FALSE)</calculatedColumnFormula>
    </tableColumn>
    <tableColumn id="15" xr3:uid="{83DD762A-DAE0-4AFE-8CA5-492B818BB79A}" name="EST SHIFT" dataDxfId="28"/>
    <tableColumn id="16" xr3:uid="{E5884264-6259-4BC2-9654-B2991AB594FD}" name="Column1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473D84-D9EA-4A0A-B91F-B5DB26D776E2}" name="Table3" displayName="Table3" ref="A1:P67" totalsRowShown="0" headerRowDxfId="25" dataDxfId="24">
  <autoFilter ref="A1:P67" xr:uid="{94473D84-D9EA-4A0A-B91F-B5DB26D776E2}"/>
  <tableColumns count="16">
    <tableColumn id="1" xr3:uid="{D0B0696F-75FC-4AFF-A11B-C5D46CC25C78}" name="Name" dataDxfId="23">
      <calculatedColumnFormula>Table2[[#This Row],[Name]]</calculatedColumnFormula>
    </tableColumn>
    <tableColumn id="2" xr3:uid="{BBF0B479-620B-4B71-BB9A-1F4E5FBB2C82}" name="Monday" dataDxfId="22"/>
    <tableColumn id="3" xr3:uid="{F4D315E5-0361-4733-A5E1-09F451DC19DD}" name="Tuesday" dataDxfId="21"/>
    <tableColumn id="4" xr3:uid="{2E476E27-E48D-4AD9-BD5F-522EF6FC58A0}" name="Wednesday" dataDxfId="20"/>
    <tableColumn id="5" xr3:uid="{A18B12AD-041B-4C04-9106-2824C53C1DE2}" name="Thursday" dataDxfId="19"/>
    <tableColumn id="6" xr3:uid="{0E90988C-50D8-43F9-926F-8CBAA6CF48A6}" name="Friday" dataDxfId="18"/>
    <tableColumn id="7" xr3:uid="{1EA1CACD-D7F8-417C-AD10-6AE8B3F951AF}" name="Saturday" dataDxfId="17"/>
    <tableColumn id="8" xr3:uid="{DC9C8B77-9487-45DC-B5CA-C948E19F7C3B}" name="Sunday" dataDxfId="16"/>
    <tableColumn id="9" xr3:uid="{66009700-7181-415F-BE1E-8B3368A13FF7}" name="Rest Day" dataDxfId="15"/>
    <tableColumn id="10" xr3:uid="{D17B8E11-9A58-48EF-919A-BD4ABB27F564}" name="Break 1" dataDxfId="14">
      <calculatedColumnFormula>MOD(Table2[[#This Row],[Break 1]]+TIME(12,0,0),1)</calculatedColumnFormula>
    </tableColumn>
    <tableColumn id="11" xr3:uid="{44378E06-1320-4348-BB95-2AA160393F58}" name="Break 2" dataDxfId="13">
      <calculatedColumnFormula>MOD(Table2[[#This Row],[Break 2]]+TIME(12,0,0),1)</calculatedColumnFormula>
    </tableColumn>
    <tableColumn id="12" xr3:uid="{843CA1FD-F228-49F9-BD5D-F8CAF978B199}" name="Lunch" dataDxfId="12">
      <calculatedColumnFormula>MOD(Table2[[#This Row],[Lunch]]+TIME(12,0,0),1)</calculatedColumnFormula>
    </tableColumn>
    <tableColumn id="13" xr3:uid="{66403EC5-BF40-49EC-AC72-576350FD2523}" name="Break 3" dataDxfId="11">
      <calculatedColumnFormula>MOD(Table2[[#This Row],[Break 3]]+TIME(12,0,0),1)</calculatedColumnFormula>
    </tableColumn>
    <tableColumn id="14" xr3:uid="{3756309B-9082-4BF0-8B84-8D7322F3FF86}" name="Supervisor" dataDxfId="10">
      <calculatedColumnFormula>Table2[[#This Row],[Supervisor]]</calculatedColumnFormula>
    </tableColumn>
    <tableColumn id="15" xr3:uid="{F72805BC-41F7-4089-876A-3AA562898F65}" name="PH SHIFT" dataDxfId="9">
      <calculatedColumnFormula>TEXT(TIMEVALUE(LEFT(Table2[[#This Row],[EST SHIFT]],5))+12/24,"hh:mm") &amp; " - " &amp; TEXT(TIMEVALUE(RIGHT(Table2[[#This Row],[EST SHIFT]],5))+12/24,"hh:mm")</calculatedColumnFormula>
    </tableColumn>
    <tableColumn id="16" xr3:uid="{17F73FE5-6305-48B3-872C-53656D5EBDA7}" name="OFFSET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CE8E2-0F01-4FAE-891E-3D388D371CBD}" name="Table1" displayName="Table1" ref="A1:P1048576" totalsRowShown="0" headerRowDxfId="3" headerRowBorderDxfId="2">
  <autoFilter ref="A1:P1048576" xr:uid="{F6BCE8E2-0F01-4FAE-891E-3D388D371CBD}"/>
  <tableColumns count="16">
    <tableColumn id="1" xr3:uid="{32E5A71C-CDC6-44C7-965D-6371DF719B8F}" name="Name"/>
    <tableColumn id="2" xr3:uid="{1467416E-C06F-4B6E-80C8-787BEC8E5CDF}" name="Monday"/>
    <tableColumn id="3" xr3:uid="{20D6BF56-C6C2-411B-94F6-61AC760997A5}" name="Tuesday"/>
    <tableColumn id="4" xr3:uid="{4D70586F-DDF0-4AF8-95D1-DEA6A3B9A503}" name="Wednesday"/>
    <tableColumn id="5" xr3:uid="{C0082182-5C90-4950-B49C-41DAE5A88926}" name="Thursday"/>
    <tableColumn id="6" xr3:uid="{07C1004E-3AA9-4BF7-8A9E-0EEFF503D2CD}" name="Friday"/>
    <tableColumn id="7" xr3:uid="{625EA3E2-59FA-4B09-A4FE-C9C6D8CF1C91}" name="Saturday"/>
    <tableColumn id="8" xr3:uid="{0B0A3BBB-4FDA-4937-A421-44355A38BB43}" name="Sunday"/>
    <tableColumn id="9" xr3:uid="{5881D45F-14FD-4942-A605-CCAF63B57BBD}" name="Rest Day"/>
    <tableColumn id="10" xr3:uid="{D3C4AF83-161D-4EE9-B566-21CCDD9EBF69}" name="Break 1"/>
    <tableColumn id="11" xr3:uid="{B0B13C4A-6B6E-475B-B998-0ADE065B2B91}" name="Break 2"/>
    <tableColumn id="12" xr3:uid="{0CDAAE16-1C0F-4FD3-B353-4CD28DB5D767}" name="Lunch"/>
    <tableColumn id="13" xr3:uid="{B7F6EC5C-1FC1-4706-8CBB-CEE850D5ABD4}" name="Break 3"/>
    <tableColumn id="14" xr3:uid="{3A67763D-8488-42AB-A6C3-7B3553689CF6}" name="Supervisor"/>
    <tableColumn id="15" xr3:uid="{788BA475-03B2-4467-8034-514A22C0FD40}" name="Shift EST"/>
    <tableColumn id="16" xr3:uid="{BC94A528-2206-4BE6-847B-34EEFA941332}" name="Column1" dataDxfId="1">
      <calculatedColumnFormula>IF(O2="OFF",0,
IF(VALUE(LEFT(O2,2))&lt;12,0,1))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E4C5-4AB3-495A-BC0E-EE9A88F70393}">
  <dimension ref="A1:CX72"/>
  <sheetViews>
    <sheetView zoomScaleNormal="100" workbookViewId="0">
      <pane ySplit="1" topLeftCell="A2" activePane="bottomLeft" state="frozen"/>
      <selection pane="bottomLeft" activeCell="A41" sqref="A41:F45"/>
    </sheetView>
  </sheetViews>
  <sheetFormatPr defaultRowHeight="14.45"/>
  <cols>
    <col min="1" max="1" width="26.85546875" bestFit="1" customWidth="1"/>
    <col min="2" max="3" width="12.42578125" bestFit="1" customWidth="1"/>
    <col min="4" max="4" width="13.85546875" bestFit="1" customWidth="1"/>
    <col min="5" max="8" width="12.42578125" bestFit="1" customWidth="1"/>
    <col min="9" max="9" width="14.85546875" bestFit="1" customWidth="1"/>
    <col min="10" max="11" width="10" bestFit="1" customWidth="1"/>
    <col min="12" max="12" width="8.85546875" bestFit="1" customWidth="1"/>
    <col min="13" max="13" width="10" bestFit="1" customWidth="1"/>
    <col min="14" max="14" width="20.28515625" customWidth="1"/>
    <col min="15" max="15" width="12.42578125" bestFit="1" customWidth="1"/>
    <col min="16" max="16" width="11.5703125" bestFit="1" customWidth="1"/>
    <col min="18" max="24" width="13.140625" customWidth="1"/>
  </cols>
  <sheetData>
    <row r="1" spans="1:102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9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t="s">
        <v>15</v>
      </c>
    </row>
    <row r="2" spans="1:102" ht="15">
      <c r="A2" s="60" t="s">
        <v>16</v>
      </c>
      <c r="B2" s="61" t="s">
        <v>17</v>
      </c>
      <c r="C2" s="61" t="s">
        <v>18</v>
      </c>
      <c r="D2" s="61" t="s">
        <v>18</v>
      </c>
      <c r="E2" s="61" t="s">
        <v>17</v>
      </c>
      <c r="F2" s="61" t="s">
        <v>17</v>
      </c>
      <c r="G2" s="61" t="s">
        <v>18</v>
      </c>
      <c r="H2" s="61" t="s">
        <v>17</v>
      </c>
      <c r="I2" s="2" t="str">
        <f>_xlfn.TEXTJOIN(" - ",TRUE,
IF(B2="OFF","Mon",""),
IF(C2="OFF","Tue",""),
IF(D2="OFF","Wed",""),
IF(E2="OFF","Thu",""),
IF(F2="OFF","Fri",""),
IF(G2="OFF","Sat",""),
IF(H2="OFF","Sun",""))</f>
        <v>Tue - Wed - Sat</v>
      </c>
      <c r="J2" s="64">
        <v>9.375E-2</v>
      </c>
      <c r="K2" s="64">
        <v>0.3125</v>
      </c>
      <c r="L2" s="64">
        <v>0.1875</v>
      </c>
      <c r="M2" s="64">
        <v>0.40625</v>
      </c>
      <c r="N2" s="33" t="str">
        <f>VLOOKUP(Table2[[#This Row],[Name]],ROSTER!A:B,2,FALSE)</f>
        <v>Anmecha Valencia</v>
      </c>
      <c r="O2" s="61" t="s">
        <v>17</v>
      </c>
      <c r="P2">
        <f>IF(O2="OFF",0,IF(VALUE(LEFT(O2,2))&lt;12,0,1))</f>
        <v>0</v>
      </c>
      <c r="R2" s="9"/>
      <c r="S2" s="9"/>
      <c r="T2" s="9"/>
      <c r="U2" s="9"/>
    </row>
    <row r="3" spans="1:102" ht="15">
      <c r="A3" s="6" t="s">
        <v>19</v>
      </c>
      <c r="B3" s="5" t="s">
        <v>20</v>
      </c>
      <c r="C3" s="5" t="s">
        <v>20</v>
      </c>
      <c r="D3" s="1" t="s">
        <v>18</v>
      </c>
      <c r="E3" s="1" t="s">
        <v>18</v>
      </c>
      <c r="F3" s="1" t="s">
        <v>18</v>
      </c>
      <c r="G3" s="5" t="s">
        <v>20</v>
      </c>
      <c r="H3" s="5" t="s">
        <v>20</v>
      </c>
      <c r="I3" s="2" t="str">
        <f>_xlfn.TEXTJOIN(" - ",TRUE,
IF(B3="OFF","Mon",""),
IF(C3="OFF","Tue",""),
IF(D3="OFF","Wed",""),
IF(E3="OFF","Thu",""),
IF(F3="OFF","Fri",""),
IF(G3="OFF","Sat",""),
IF(H3="OFF","Sun",""))</f>
        <v>Wed - Thu - Fri</v>
      </c>
      <c r="J3" s="5">
        <v>0.125</v>
      </c>
      <c r="K3" s="5">
        <v>0.20833333333333331</v>
      </c>
      <c r="L3" s="5">
        <v>0.33333333333333337</v>
      </c>
      <c r="M3" s="5">
        <v>0.45833333333333337</v>
      </c>
      <c r="N3" s="33" t="str">
        <f>VLOOKUP(Table2[[#This Row],[Name]],ROSTER!A:B,2,FALSE)</f>
        <v>Chris Borromeo</v>
      </c>
      <c r="O3" s="5" t="s">
        <v>20</v>
      </c>
      <c r="P3">
        <f>IF(O3="OFF",0,IF(VALUE(LEFT(O3,2))&lt;12,0,1))</f>
        <v>0</v>
      </c>
      <c r="R3" s="9"/>
      <c r="S3" s="9"/>
      <c r="T3" s="9"/>
      <c r="U3" s="9"/>
    </row>
    <row r="4" spans="1:102" ht="15">
      <c r="A4" s="6" t="s">
        <v>21</v>
      </c>
      <c r="B4" s="1" t="s">
        <v>22</v>
      </c>
      <c r="C4" s="1" t="s">
        <v>22</v>
      </c>
      <c r="D4" s="1" t="s">
        <v>18</v>
      </c>
      <c r="E4" s="1" t="s">
        <v>18</v>
      </c>
      <c r="F4" s="1" t="s">
        <v>18</v>
      </c>
      <c r="G4" s="1" t="s">
        <v>22</v>
      </c>
      <c r="H4" s="1" t="s">
        <v>22</v>
      </c>
      <c r="I4" s="2" t="str">
        <f>_xlfn.TEXTJOIN(" - ",TRUE,
IF(B4="OFF","Mon",""),
IF(C4="OFF","Tue",""),
IF(D4="OFF","Wed",""),
IF(E4="OFF","Thu",""),
IF(F4="OFF","Fri",""),
IF(G4="OFF","Sat",""),
IF(H4="OFF","Sun",""))</f>
        <v>Wed - Thu - Fri</v>
      </c>
      <c r="J4" s="3">
        <v>0.16666666666666666</v>
      </c>
      <c r="K4" s="3">
        <v>0.39583333333333337</v>
      </c>
      <c r="L4" s="3">
        <v>0.30208333333333337</v>
      </c>
      <c r="M4" s="3">
        <v>0.48958333333333337</v>
      </c>
      <c r="N4" s="33" t="str">
        <f>VLOOKUP(Table2[[#This Row],[Name]],ROSTER!A:B,2,FALSE)</f>
        <v>Remmo Panaligan</v>
      </c>
      <c r="O4" s="1" t="s">
        <v>22</v>
      </c>
      <c r="P4">
        <f>IF(O4="OFF",0,IF(VALUE(LEFT(O4,2))&lt;12,0,1))</f>
        <v>0</v>
      </c>
      <c r="R4" s="9"/>
      <c r="S4" s="9"/>
      <c r="T4" s="9"/>
      <c r="U4" s="9"/>
    </row>
    <row r="5" spans="1:102" ht="15">
      <c r="A5" s="6" t="s">
        <v>23</v>
      </c>
      <c r="B5" s="1" t="s">
        <v>24</v>
      </c>
      <c r="C5" s="1" t="s">
        <v>24</v>
      </c>
      <c r="D5" s="1" t="s">
        <v>24</v>
      </c>
      <c r="E5" s="1" t="s">
        <v>18</v>
      </c>
      <c r="F5" s="1" t="s">
        <v>18</v>
      </c>
      <c r="G5" s="1" t="s">
        <v>18</v>
      </c>
      <c r="H5" s="1" t="s">
        <v>24</v>
      </c>
      <c r="I5" s="2" t="str">
        <f>_xlfn.TEXTJOIN(" - ",TRUE,
IF(B5="OFF","Mon",""),
IF(C5="OFF","Tue",""),
IF(D5="OFF","Wed",""),
IF(E5="OFF","Thu",""),
IF(F5="OFF","Fri",""),
IF(G5="OFF","Sat",""),
IF(H5="OFF","Sun",""))</f>
        <v>Thu - Fri - Sat</v>
      </c>
      <c r="J5" s="3">
        <v>0.19791666666666666</v>
      </c>
      <c r="K5" s="3">
        <v>0.41666666666666669</v>
      </c>
      <c r="L5" s="3">
        <v>0.29166666666666669</v>
      </c>
      <c r="M5" s="3">
        <v>0.52083333333333337</v>
      </c>
      <c r="N5" s="33" t="str">
        <f>VLOOKUP(Table2[[#This Row],[Name]],ROSTER!A:B,2,FALSE)</f>
        <v>Christopher Rodas</v>
      </c>
      <c r="O5" s="1" t="s">
        <v>24</v>
      </c>
      <c r="P5">
        <f>IF(O5="OFF",0,IF(VALUE(LEFT(O5,2))&lt;12,0,1))</f>
        <v>0</v>
      </c>
      <c r="R5" s="9"/>
      <c r="S5" s="9"/>
      <c r="T5" s="9"/>
      <c r="U5" s="9"/>
    </row>
    <row r="6" spans="1:102" s="8" customFormat="1" ht="15">
      <c r="A6" s="6" t="s">
        <v>25</v>
      </c>
      <c r="B6" s="1" t="s">
        <v>26</v>
      </c>
      <c r="C6" s="1" t="s">
        <v>26</v>
      </c>
      <c r="D6" s="1" t="s">
        <v>18</v>
      </c>
      <c r="E6" s="1" t="s">
        <v>26</v>
      </c>
      <c r="F6" s="1" t="s">
        <v>26</v>
      </c>
      <c r="G6" s="1" t="s">
        <v>18</v>
      </c>
      <c r="H6" s="1" t="s">
        <v>18</v>
      </c>
      <c r="I6" s="2" t="str">
        <f>_xlfn.TEXTJOIN(" - ",TRUE,
IF(B6="OFF","Mon",""),
IF(C6="OFF","Tue",""),
IF(D6="OFF","Wed",""),
IF(E6="OFF","Thu",""),
IF(F6="OFF","Fri",""),
IF(G6="OFF","Sat",""),
IF(H6="OFF","Sun",""))</f>
        <v>Wed - Sat - Sun</v>
      </c>
      <c r="J6" s="3">
        <v>0.23958333333333331</v>
      </c>
      <c r="K6" s="3">
        <v>0.47916666666666669</v>
      </c>
      <c r="L6" s="3">
        <v>0.35416666666666669</v>
      </c>
      <c r="M6" s="3">
        <v>0.58333333333333326</v>
      </c>
      <c r="N6" s="33" t="str">
        <f>VLOOKUP(Table2[[#This Row],[Name]],ROSTER!A:B,2,FALSE)</f>
        <v>Anmecha Valencia</v>
      </c>
      <c r="O6" s="1" t="s">
        <v>26</v>
      </c>
      <c r="P6">
        <f>IF(O6="OFF",0,IF(VALUE(LEFT(O6,2))&lt;12,0,1))</f>
        <v>0</v>
      </c>
      <c r="Q6"/>
      <c r="R6" s="9"/>
      <c r="S6" s="9"/>
      <c r="T6" s="9"/>
      <c r="U6" s="9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</row>
    <row r="7" spans="1:102" ht="15">
      <c r="A7" s="6" t="s">
        <v>27</v>
      </c>
      <c r="B7" s="1" t="s">
        <v>28</v>
      </c>
      <c r="C7" s="1" t="s">
        <v>28</v>
      </c>
      <c r="D7" s="1" t="s">
        <v>28</v>
      </c>
      <c r="E7" s="1" t="s">
        <v>18</v>
      </c>
      <c r="F7" s="1" t="s">
        <v>18</v>
      </c>
      <c r="G7" s="1" t="s">
        <v>18</v>
      </c>
      <c r="H7" s="1" t="s">
        <v>28</v>
      </c>
      <c r="I7" s="2" t="str">
        <f>_xlfn.TEXTJOIN(" - ",TRUE,
IF(B7="OFF","Mon",""),
IF(C7="OFF","Tue",""),
IF(D7="OFF","Wed",""),
IF(E7="OFF","Thu",""),
IF(F7="OFF","Fri",""),
IF(G7="OFF","Sat",""),
IF(H7="OFF","Sun",""))</f>
        <v>Thu - Fri - Sat</v>
      </c>
      <c r="J7" s="3">
        <v>0.34375</v>
      </c>
      <c r="K7" s="3">
        <v>0.58333333333333326</v>
      </c>
      <c r="L7" s="3">
        <v>0.45833333333333337</v>
      </c>
      <c r="M7" s="3">
        <v>0.6875</v>
      </c>
      <c r="N7" s="33" t="str">
        <f>VLOOKUP(Table2[[#This Row],[Name]],ROSTER!A:B,2,FALSE)</f>
        <v>Christopher Rodas</v>
      </c>
      <c r="O7" s="1" t="s">
        <v>28</v>
      </c>
      <c r="P7">
        <f>IF(O7="OFF",0,IF(VALUE(LEFT(O7,2))&lt;12,0,1))</f>
        <v>0</v>
      </c>
      <c r="R7" s="9"/>
      <c r="S7" s="9"/>
      <c r="T7" s="9"/>
      <c r="U7" s="9"/>
    </row>
    <row r="8" spans="1:102" ht="15">
      <c r="A8" s="6" t="s">
        <v>29</v>
      </c>
      <c r="B8" s="1" t="s">
        <v>28</v>
      </c>
      <c r="C8" s="1" t="s">
        <v>28</v>
      </c>
      <c r="D8" s="1" t="s">
        <v>18</v>
      </c>
      <c r="E8" s="1" t="s">
        <v>18</v>
      </c>
      <c r="F8" s="1" t="s">
        <v>18</v>
      </c>
      <c r="G8" s="1" t="s">
        <v>28</v>
      </c>
      <c r="H8" s="1" t="s">
        <v>28</v>
      </c>
      <c r="I8" s="2" t="str">
        <f>_xlfn.TEXTJOIN(" - ",TRUE,
IF(B8="OFF","Mon",""),
IF(C8="OFF","Tue",""),
IF(D8="OFF","Wed",""),
IF(E8="OFF","Thu",""),
IF(F8="OFF","Fri",""),
IF(G8="OFF","Sat",""),
IF(H8="OFF","Sun",""))</f>
        <v>Wed - Thu - Fri</v>
      </c>
      <c r="J8" s="3">
        <v>0.33333333333333337</v>
      </c>
      <c r="K8" s="3">
        <v>0.55208333333333326</v>
      </c>
      <c r="L8" s="3">
        <v>0.42708333333333337</v>
      </c>
      <c r="M8" s="3">
        <v>0.65625</v>
      </c>
      <c r="N8" s="33" t="str">
        <f>VLOOKUP(Table2[[#This Row],[Name]],ROSTER!A:B,2,FALSE)</f>
        <v>Remmo Panaligan</v>
      </c>
      <c r="O8" s="1" t="s">
        <v>28</v>
      </c>
      <c r="P8">
        <f>IF(O8="OFF",0,IF(VALUE(LEFT(O8,2))&lt;12,0,1))</f>
        <v>0</v>
      </c>
      <c r="R8" s="9"/>
      <c r="S8" s="9"/>
      <c r="T8" s="9"/>
      <c r="U8" s="9"/>
    </row>
    <row r="9" spans="1:102" ht="15">
      <c r="A9" s="6" t="s">
        <v>30</v>
      </c>
      <c r="B9" s="1" t="s">
        <v>28</v>
      </c>
      <c r="C9" s="1" t="s">
        <v>28</v>
      </c>
      <c r="D9" s="1" t="s">
        <v>28</v>
      </c>
      <c r="E9" s="1" t="s">
        <v>18</v>
      </c>
      <c r="F9" s="1" t="s">
        <v>18</v>
      </c>
      <c r="G9" s="1" t="s">
        <v>18</v>
      </c>
      <c r="H9" s="1" t="s">
        <v>28</v>
      </c>
      <c r="I9" s="2" t="str">
        <f>_xlfn.TEXTJOIN(" - ",TRUE,
IF(B9="OFF","Mon",""),
IF(C9="OFF","Tue",""),
IF(D9="OFF","Wed",""),
IF(E9="OFF","Thu",""),
IF(F9="OFF","Fri",""),
IF(G9="OFF","Sat",""),
IF(H9="OFF","Sun",""))</f>
        <v>Thu - Fri - Sat</v>
      </c>
      <c r="J9" s="3">
        <v>0.33333333333333337</v>
      </c>
      <c r="K9" s="3">
        <v>0.54166666666666663</v>
      </c>
      <c r="L9" s="3">
        <v>0.41666666666666669</v>
      </c>
      <c r="M9" s="3">
        <v>0.65625</v>
      </c>
      <c r="N9" s="33" t="str">
        <f>VLOOKUP(Table2[[#This Row],[Name]],ROSTER!A:B,2,FALSE)</f>
        <v>Christopher Rodas</v>
      </c>
      <c r="O9" s="1" t="s">
        <v>28</v>
      </c>
      <c r="P9">
        <f>IF(O9="OFF",0,IF(VALUE(LEFT(O9,2))&lt;12,0,1))</f>
        <v>0</v>
      </c>
      <c r="R9" s="9"/>
      <c r="S9" s="9"/>
      <c r="T9" s="9"/>
      <c r="U9" s="9"/>
    </row>
    <row r="10" spans="1:102" ht="15">
      <c r="A10" s="6" t="s">
        <v>31</v>
      </c>
      <c r="B10" s="1" t="s">
        <v>32</v>
      </c>
      <c r="C10" s="1" t="s">
        <v>32</v>
      </c>
      <c r="D10" s="1" t="s">
        <v>32</v>
      </c>
      <c r="E10" s="1" t="s">
        <v>32</v>
      </c>
      <c r="F10" s="1" t="s">
        <v>18</v>
      </c>
      <c r="G10" s="1" t="s">
        <v>18</v>
      </c>
      <c r="H10" s="1" t="s">
        <v>18</v>
      </c>
      <c r="I10" s="2" t="str">
        <f>_xlfn.TEXTJOIN(" - ",TRUE,
IF(B10="OFF","Mon",""),
IF(C10="OFF","Tue",""),
IF(D10="OFF","Wed",""),
IF(E10="OFF","Thu",""),
IF(F10="OFF","Fri",""),
IF(G10="OFF","Sat",""),
IF(H10="OFF","Sun",""))</f>
        <v>Fri - Sat - Sun</v>
      </c>
      <c r="J10" s="3">
        <v>0.38541666666666669</v>
      </c>
      <c r="K10" s="3">
        <v>0.60416666666666663</v>
      </c>
      <c r="L10" s="3">
        <v>0.47916666666666669</v>
      </c>
      <c r="M10" s="3">
        <v>0.69791666666666663</v>
      </c>
      <c r="N10" s="33" t="str">
        <f>VLOOKUP(Table2[[#This Row],[Name]],ROSTER!A:B,2,FALSE)</f>
        <v>Remmo Panaligan</v>
      </c>
      <c r="O10" s="1" t="s">
        <v>32</v>
      </c>
      <c r="P10">
        <f>IF(O10="OFF",0,IF(VALUE(LEFT(O10,2))&lt;12,0,1))</f>
        <v>0</v>
      </c>
      <c r="R10" s="9"/>
      <c r="S10" s="9"/>
      <c r="T10" s="9"/>
      <c r="U10" s="9"/>
    </row>
    <row r="11" spans="1:102" ht="15">
      <c r="A11" s="6" t="s">
        <v>33</v>
      </c>
      <c r="B11" s="1" t="s">
        <v>32</v>
      </c>
      <c r="C11" s="1" t="s">
        <v>32</v>
      </c>
      <c r="D11" s="1" t="s">
        <v>32</v>
      </c>
      <c r="E11" s="1" t="s">
        <v>32</v>
      </c>
      <c r="F11" s="1" t="s">
        <v>18</v>
      </c>
      <c r="G11" s="1" t="s">
        <v>18</v>
      </c>
      <c r="H11" s="1" t="s">
        <v>18</v>
      </c>
      <c r="I11" s="2" t="str">
        <f>_xlfn.TEXTJOIN(" - ",TRUE,
IF(B11="OFF","Mon",""),
IF(C11="OFF","Tue",""),
IF(D11="OFF","Wed",""),
IF(E11="OFF","Thu",""),
IF(F11="OFF","Fri",""),
IF(G11="OFF","Sat",""),
IF(H11="OFF","Sun",""))</f>
        <v>Fri - Sat - Sun</v>
      </c>
      <c r="J11" s="3">
        <v>0.375</v>
      </c>
      <c r="K11" s="3">
        <v>0.59375</v>
      </c>
      <c r="L11" s="3">
        <v>0.46875</v>
      </c>
      <c r="M11" s="3">
        <v>0.6875</v>
      </c>
      <c r="N11" s="33" t="str">
        <f>VLOOKUP(Table2[[#This Row],[Name]],ROSTER!A:B,2,FALSE)</f>
        <v>Remmo Panaligan</v>
      </c>
      <c r="O11" s="1" t="s">
        <v>32</v>
      </c>
      <c r="P11">
        <f>IF(O11="OFF",0,IF(VALUE(LEFT(O11,2))&lt;12,0,1))</f>
        <v>0</v>
      </c>
      <c r="R11" s="9"/>
      <c r="S11" s="9"/>
      <c r="T11" s="9"/>
      <c r="U11" s="9"/>
    </row>
    <row r="12" spans="1:102" ht="15">
      <c r="A12" s="6" t="s">
        <v>34</v>
      </c>
      <c r="B12" s="1" t="s">
        <v>35</v>
      </c>
      <c r="C12" s="1" t="s">
        <v>35</v>
      </c>
      <c r="D12" s="1" t="s">
        <v>18</v>
      </c>
      <c r="E12" s="1" t="s">
        <v>18</v>
      </c>
      <c r="F12" s="1" t="s">
        <v>18</v>
      </c>
      <c r="G12" s="1" t="s">
        <v>35</v>
      </c>
      <c r="H12" s="1" t="s">
        <v>35</v>
      </c>
      <c r="I12" s="2" t="str">
        <f>_xlfn.TEXTJOIN(" - ",TRUE,
IF(B12="OFF","Mon",""),
IF(C12="OFF","Tue",""),
IF(D12="OFF","Wed",""),
IF(E12="OFF","Thu",""),
IF(F12="OFF","Fri",""),
IF(G12="OFF","Sat",""),
IF(H12="OFF","Sun",""))</f>
        <v>Wed - Thu - Fri</v>
      </c>
      <c r="J12" s="3">
        <v>0.40625</v>
      </c>
      <c r="K12" s="3">
        <v>0.61458333333333326</v>
      </c>
      <c r="L12" s="3">
        <v>0.48958333333333337</v>
      </c>
      <c r="M12" s="3">
        <v>0.71875</v>
      </c>
      <c r="N12" s="33" t="str">
        <f>VLOOKUP(Table2[[#This Row],[Name]],ROSTER!A:B,2,FALSE)</f>
        <v>Michael Dominguez</v>
      </c>
      <c r="O12" s="1" t="s">
        <v>35</v>
      </c>
      <c r="P12">
        <f>IF(O12="OFF",0,IF(VALUE(LEFT(O12,2))&lt;12,0,1))</f>
        <v>0</v>
      </c>
      <c r="R12" s="9"/>
      <c r="S12" s="9"/>
      <c r="T12" s="9"/>
      <c r="U12" s="9"/>
    </row>
    <row r="13" spans="1:102" ht="15">
      <c r="A13" s="6" t="s">
        <v>36</v>
      </c>
      <c r="B13" s="1" t="s">
        <v>35</v>
      </c>
      <c r="C13" s="1" t="s">
        <v>35</v>
      </c>
      <c r="D13" s="1" t="s">
        <v>35</v>
      </c>
      <c r="E13" s="1" t="s">
        <v>35</v>
      </c>
      <c r="F13" s="1" t="s">
        <v>18</v>
      </c>
      <c r="G13" s="1" t="s">
        <v>18</v>
      </c>
      <c r="H13" s="1" t="s">
        <v>18</v>
      </c>
      <c r="I13" s="2" t="str">
        <f>_xlfn.TEXTJOIN(" - ",TRUE,
IF(B13="OFF","Mon",""),
IF(C13="OFF","Tue",""),
IF(D13="OFF","Wed",""),
IF(E13="OFF","Thu",""),
IF(F13="OFF","Fri",""),
IF(G13="OFF","Sat",""),
IF(H13="OFF","Sun",""))</f>
        <v>Fri - Sat - Sun</v>
      </c>
      <c r="J13" s="3">
        <v>0.41666666666666669</v>
      </c>
      <c r="K13" s="3">
        <v>0.52083333333333337</v>
      </c>
      <c r="L13" s="3">
        <v>0.625</v>
      </c>
      <c r="M13" s="3">
        <v>0.71875</v>
      </c>
      <c r="N13" s="33" t="str">
        <f>VLOOKUP(Table2[[#This Row],[Name]],ROSTER!A:B,2,FALSE)</f>
        <v>Manilyn Abellar</v>
      </c>
      <c r="O13" s="1" t="s">
        <v>35</v>
      </c>
      <c r="P13">
        <f>IF(O13="OFF",0,IF(VALUE(LEFT(O13,2))&lt;12,0,1))</f>
        <v>0</v>
      </c>
      <c r="R13" s="9"/>
      <c r="S13" s="9"/>
      <c r="T13" s="9"/>
      <c r="U13" s="9"/>
    </row>
    <row r="14" spans="1:102" ht="15">
      <c r="A14" s="55" t="s">
        <v>37</v>
      </c>
      <c r="B14" s="1" t="s">
        <v>38</v>
      </c>
      <c r="C14" s="1" t="s">
        <v>38</v>
      </c>
      <c r="D14" s="1" t="s">
        <v>38</v>
      </c>
      <c r="E14" s="1" t="s">
        <v>38</v>
      </c>
      <c r="F14" s="1" t="s">
        <v>18</v>
      </c>
      <c r="G14" s="1" t="s">
        <v>18</v>
      </c>
      <c r="H14" s="1" t="s">
        <v>18</v>
      </c>
      <c r="I14" s="2" t="str">
        <f>_xlfn.TEXTJOIN(" - ",TRUE,
IF(B14="OFF","Mon",""),
IF(C14="OFF","Tue",""),
IF(D14="OFF","Wed",""),
IF(E14="OFF","Thu",""),
IF(F14="OFF","Fri",""),
IF(G14="OFF","Sat",""),
IF(H14="OFF","Sun",""))</f>
        <v>Fri - Sat - Sun</v>
      </c>
      <c r="J14" s="3">
        <v>0.42708333333333337</v>
      </c>
      <c r="K14" s="3">
        <v>0.65625</v>
      </c>
      <c r="L14" s="3">
        <v>0.51041666666666663</v>
      </c>
      <c r="M14" s="3">
        <v>0.76041666666666663</v>
      </c>
      <c r="N14" s="33" t="str">
        <f>VLOOKUP(Table2[[#This Row],[Name]],ROSTER!A:B,2,FALSE)</f>
        <v>Manilyn Abellar</v>
      </c>
      <c r="O14" s="1" t="s">
        <v>38</v>
      </c>
      <c r="P14">
        <f>IF(O14="OFF",0,IF(VALUE(LEFT(O14,2))&lt;12,0,1))</f>
        <v>0</v>
      </c>
      <c r="R14" s="9"/>
      <c r="S14" s="9"/>
      <c r="T14" s="9"/>
      <c r="U14" s="9"/>
    </row>
    <row r="15" spans="1:102" ht="15">
      <c r="A15" s="6" t="s">
        <v>39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18</v>
      </c>
      <c r="G15" s="1" t="s">
        <v>18</v>
      </c>
      <c r="H15" s="1" t="s">
        <v>18</v>
      </c>
      <c r="I15" s="2" t="str">
        <f>_xlfn.TEXTJOIN(" - ",TRUE,
IF(B15="OFF","Mon",""),
IF(C15="OFF","Tue",""),
IF(D15="OFF","Wed",""),
IF(E15="OFF","Thu",""),
IF(F15="OFF","Fri",""),
IF(G15="OFF","Sat",""),
IF(H15="OFF","Sun",""))</f>
        <v>Fri - Sat - Sun</v>
      </c>
      <c r="J15" s="3">
        <v>0.4375</v>
      </c>
      <c r="K15" s="3">
        <v>0.64583333333333326</v>
      </c>
      <c r="L15" s="3">
        <v>0.52083333333333337</v>
      </c>
      <c r="M15" s="3">
        <v>0.77083333333333326</v>
      </c>
      <c r="N15" s="33" t="str">
        <f>VLOOKUP(Table2[[#This Row],[Name]],ROSTER!A:B,2,FALSE)</f>
        <v>Christopher Rodas</v>
      </c>
      <c r="O15" s="1" t="s">
        <v>38</v>
      </c>
      <c r="P15">
        <f>IF(O15="OFF",0,IF(VALUE(LEFT(O15,2))&lt;12,0,1))</f>
        <v>0</v>
      </c>
      <c r="R15" s="9"/>
      <c r="S15" s="9"/>
      <c r="T15" s="9"/>
      <c r="U15" s="9"/>
    </row>
    <row r="16" spans="1:102" ht="15">
      <c r="A16" s="6" t="s">
        <v>40</v>
      </c>
      <c r="B16" s="1" t="s">
        <v>41</v>
      </c>
      <c r="C16" s="1" t="s">
        <v>41</v>
      </c>
      <c r="D16" s="1" t="s">
        <v>41</v>
      </c>
      <c r="E16" s="1" t="s">
        <v>18</v>
      </c>
      <c r="F16" s="1" t="s">
        <v>41</v>
      </c>
      <c r="G16" s="1" t="s">
        <v>18</v>
      </c>
      <c r="H16" s="1" t="s">
        <v>18</v>
      </c>
      <c r="I16" s="2" t="str">
        <f>_xlfn.TEXTJOIN(" - ",TRUE,
IF(B16="OFF","Mon",""),
IF(C16="OFF","Tue",""),
IF(D16="OFF","Wed",""),
IF(E16="OFF","Thu",""),
IF(F16="OFF","Fri",""),
IF(G16="OFF","Sat",""),
IF(H16="OFF","Sun",""))</f>
        <v>Thu - Sat - Sun</v>
      </c>
      <c r="J16" s="3">
        <v>0.4375</v>
      </c>
      <c r="K16" s="3">
        <v>0.64583333333333326</v>
      </c>
      <c r="L16" s="3">
        <v>0.52083333333333337</v>
      </c>
      <c r="M16" s="3">
        <v>0.78125</v>
      </c>
      <c r="N16" s="33" t="str">
        <f>VLOOKUP(Table2[[#This Row],[Name]],ROSTER!A:B,2,FALSE)</f>
        <v>Manilyn Abellar</v>
      </c>
      <c r="O16" s="1" t="s">
        <v>41</v>
      </c>
      <c r="P16">
        <f>IF(O16="OFF",0,IF(VALUE(LEFT(O16,2))&lt;12,0,1))</f>
        <v>0</v>
      </c>
      <c r="R16" s="9"/>
      <c r="S16" s="9"/>
      <c r="T16" s="9"/>
      <c r="U16" s="9"/>
    </row>
    <row r="17" spans="1:21" ht="15">
      <c r="A17" s="6" t="s">
        <v>42</v>
      </c>
      <c r="B17" s="1" t="s">
        <v>41</v>
      </c>
      <c r="C17" s="1" t="s">
        <v>18</v>
      </c>
      <c r="D17" s="1" t="s">
        <v>18</v>
      </c>
      <c r="E17" s="1" t="s">
        <v>18</v>
      </c>
      <c r="F17" s="1" t="s">
        <v>41</v>
      </c>
      <c r="G17" s="1" t="s">
        <v>41</v>
      </c>
      <c r="H17" s="1" t="s">
        <v>41</v>
      </c>
      <c r="I17" s="2" t="str">
        <f>_xlfn.TEXTJOIN(" - ",TRUE,
IF(B17="OFF","Mon",""),
IF(C17="OFF","Tue",""),
IF(D17="OFF","Wed",""),
IF(E17="OFF","Thu",""),
IF(F17="OFF","Fri",""),
IF(G17="OFF","Sat",""),
IF(H17="OFF","Sun",""))</f>
        <v>Tue - Wed - Thu</v>
      </c>
      <c r="J17" s="3">
        <v>0.47916666666666669</v>
      </c>
      <c r="K17" s="3">
        <v>0.6875</v>
      </c>
      <c r="L17" s="3">
        <v>0.5625</v>
      </c>
      <c r="M17" s="3">
        <v>0.79166666666666663</v>
      </c>
      <c r="N17" s="33" t="str">
        <f>VLOOKUP(Table2[[#This Row],[Name]],ROSTER!A:B,2,FALSE)</f>
        <v>Manilyn Abellar</v>
      </c>
      <c r="O17" s="1" t="s">
        <v>41</v>
      </c>
      <c r="P17">
        <f>IF(O17="OFF",0,IF(VALUE(LEFT(O17,2))&lt;12,0,1))</f>
        <v>0</v>
      </c>
      <c r="R17" s="9"/>
      <c r="S17" s="9"/>
      <c r="T17" s="9"/>
      <c r="U17" s="9"/>
    </row>
    <row r="18" spans="1:21" ht="15">
      <c r="A18" s="6" t="s">
        <v>43</v>
      </c>
      <c r="B18" s="1" t="s">
        <v>41</v>
      </c>
      <c r="C18" s="1" t="s">
        <v>41</v>
      </c>
      <c r="D18" s="1" t="s">
        <v>18</v>
      </c>
      <c r="E18" s="1" t="s">
        <v>41</v>
      </c>
      <c r="F18" s="1" t="s">
        <v>41</v>
      </c>
      <c r="G18" s="1" t="s">
        <v>18</v>
      </c>
      <c r="H18" s="1" t="s">
        <v>18</v>
      </c>
      <c r="I18" s="2" t="str">
        <f>_xlfn.TEXTJOIN(" - ",TRUE,
IF(B18="OFF","Mon",""),
IF(C18="OFF","Tue",""),
IF(D18="OFF","Wed",""),
IF(E18="OFF","Thu",""),
IF(F18="OFF","Fri",""),
IF(G18="OFF","Sat",""),
IF(H18="OFF","Sun",""))</f>
        <v>Wed - Sat - Sun</v>
      </c>
      <c r="J18" s="3">
        <v>0.47916666666666669</v>
      </c>
      <c r="K18" s="3">
        <v>0.69791666666666663</v>
      </c>
      <c r="L18" s="3">
        <v>0.57291666666666663</v>
      </c>
      <c r="M18" s="3">
        <v>0.79166666666666663</v>
      </c>
      <c r="N18" s="33" t="str">
        <f>VLOOKUP(Table2[[#This Row],[Name]],ROSTER!A:B,2,FALSE)</f>
        <v>Michael Dominguez</v>
      </c>
      <c r="O18" s="1" t="s">
        <v>41</v>
      </c>
      <c r="P18">
        <f>IF(O18="OFF",0,IF(VALUE(LEFT(O18,2))&lt;12,0,1))</f>
        <v>0</v>
      </c>
      <c r="R18" s="9"/>
      <c r="S18" s="9"/>
      <c r="T18" s="9"/>
      <c r="U18" s="9"/>
    </row>
    <row r="19" spans="1:21" ht="15">
      <c r="A19" s="6" t="s">
        <v>44</v>
      </c>
      <c r="B19" s="1" t="s">
        <v>41</v>
      </c>
      <c r="C19" s="1" t="s">
        <v>41</v>
      </c>
      <c r="D19" s="1" t="s">
        <v>18</v>
      </c>
      <c r="E19" s="1" t="s">
        <v>41</v>
      </c>
      <c r="F19" s="1" t="s">
        <v>41</v>
      </c>
      <c r="G19" s="1" t="s">
        <v>18</v>
      </c>
      <c r="H19" s="1" t="s">
        <v>18</v>
      </c>
      <c r="I19" s="2" t="str">
        <f>_xlfn.TEXTJOIN(" - ",TRUE,
IF(B19="OFF","Mon",""),
IF(C19="OFF","Tue",""),
IF(D19="OFF","Wed",""),
IF(E19="OFF","Thu",""),
IF(F19="OFF","Fri",""),
IF(G19="OFF","Sat",""),
IF(H19="OFF","Sun",""))</f>
        <v>Wed - Sat - Sun</v>
      </c>
      <c r="J19" s="3">
        <v>0.46875</v>
      </c>
      <c r="K19" s="3">
        <v>0.69791666666666663</v>
      </c>
      <c r="L19" s="3">
        <v>0.57291666666666663</v>
      </c>
      <c r="M19" s="3">
        <v>0.79166666666666663</v>
      </c>
      <c r="N19" s="33" t="str">
        <f>VLOOKUP(Table2[[#This Row],[Name]],ROSTER!A:B,2,FALSE)</f>
        <v>Remmo Panaligan</v>
      </c>
      <c r="O19" s="1" t="s">
        <v>41</v>
      </c>
      <c r="P19">
        <f>IF(O19="OFF",0,IF(VALUE(LEFT(O19,2))&lt;12,0,1))</f>
        <v>0</v>
      </c>
      <c r="R19" s="9"/>
      <c r="S19" s="9"/>
      <c r="T19" s="9"/>
      <c r="U19" s="9"/>
    </row>
    <row r="20" spans="1:21" ht="15">
      <c r="A20" s="6" t="s">
        <v>45</v>
      </c>
      <c r="B20" s="1" t="s">
        <v>41</v>
      </c>
      <c r="C20" s="1" t="s">
        <v>18</v>
      </c>
      <c r="D20" s="1" t="s">
        <v>41</v>
      </c>
      <c r="E20" s="1" t="s">
        <v>41</v>
      </c>
      <c r="F20" s="1" t="s">
        <v>41</v>
      </c>
      <c r="G20" s="1" t="s">
        <v>18</v>
      </c>
      <c r="H20" s="1" t="s">
        <v>18</v>
      </c>
      <c r="I20" s="2" t="str">
        <f>_xlfn.TEXTJOIN(" - ",TRUE,
IF(B20="OFF","Mon",""),
IF(C20="OFF","Tue",""),
IF(D20="OFF","Wed",""),
IF(E20="OFF","Thu",""),
IF(F20="OFF","Fri",""),
IF(G20="OFF","Sat",""),
IF(H20="OFF","Sun",""))</f>
        <v>Tue - Sat - Sun</v>
      </c>
      <c r="J20" s="3">
        <v>0.45833333333333337</v>
      </c>
      <c r="K20" s="3">
        <v>0.6875</v>
      </c>
      <c r="L20" s="3">
        <v>0.54166666666666663</v>
      </c>
      <c r="M20" s="3">
        <v>0.79166666666666663</v>
      </c>
      <c r="N20" s="33" t="str">
        <f>VLOOKUP(Table2[[#This Row],[Name]],ROSTER!A:B,2,FALSE)</f>
        <v>Manilyn Abellar</v>
      </c>
      <c r="O20" s="1" t="s">
        <v>41</v>
      </c>
      <c r="P20">
        <f>IF(O20="OFF",0,IF(VALUE(LEFT(O20,2))&lt;12,0,1))</f>
        <v>0</v>
      </c>
      <c r="R20" s="9"/>
      <c r="S20" s="9"/>
      <c r="T20" s="9"/>
      <c r="U20" s="9"/>
    </row>
    <row r="21" spans="1:21" ht="15">
      <c r="A21" s="6" t="s">
        <v>46</v>
      </c>
      <c r="B21" s="1" t="s">
        <v>41</v>
      </c>
      <c r="C21" s="1" t="s">
        <v>18</v>
      </c>
      <c r="D21" s="1" t="s">
        <v>41</v>
      </c>
      <c r="E21" s="1" t="s">
        <v>41</v>
      </c>
      <c r="F21" s="1" t="s">
        <v>41</v>
      </c>
      <c r="G21" s="1" t="s">
        <v>18</v>
      </c>
      <c r="H21" s="1" t="s">
        <v>18</v>
      </c>
      <c r="I21" s="2" t="str">
        <f>_xlfn.TEXTJOIN(" - ",TRUE,
IF(B21="OFF","Mon",""),
IF(C21="OFF","Tue",""),
IF(D21="OFF","Wed",""),
IF(E21="OFF","Thu",""),
IF(F21="OFF","Fri",""),
IF(G21="OFF","Sat",""),
IF(H21="OFF","Sun",""))</f>
        <v>Tue - Sat - Sun</v>
      </c>
      <c r="J21" s="3">
        <v>0.46875</v>
      </c>
      <c r="K21" s="3">
        <v>0.67708333333333326</v>
      </c>
      <c r="L21" s="3">
        <v>0.55208333333333326</v>
      </c>
      <c r="M21" s="3">
        <v>0.78125</v>
      </c>
      <c r="N21" s="33" t="str">
        <f>VLOOKUP(Table2[[#This Row],[Name]],ROSTER!A:B,2,FALSE)</f>
        <v>Remmo Panaligan</v>
      </c>
      <c r="O21" s="1" t="s">
        <v>41</v>
      </c>
      <c r="P21">
        <f>IF(O21="OFF",0,IF(VALUE(LEFT(O21,2))&lt;12,0,1))</f>
        <v>0</v>
      </c>
      <c r="R21" s="9"/>
      <c r="S21" s="9"/>
      <c r="T21" s="9"/>
      <c r="U21" s="9"/>
    </row>
    <row r="22" spans="1:21" ht="15">
      <c r="A22" s="6" t="s">
        <v>47</v>
      </c>
      <c r="B22" s="1" t="s">
        <v>41</v>
      </c>
      <c r="C22" s="1" t="s">
        <v>41</v>
      </c>
      <c r="D22" s="1" t="s">
        <v>18</v>
      </c>
      <c r="E22" s="1" t="s">
        <v>41</v>
      </c>
      <c r="F22" s="1" t="s">
        <v>41</v>
      </c>
      <c r="G22" s="1" t="s">
        <v>18</v>
      </c>
      <c r="H22" s="1" t="s">
        <v>18</v>
      </c>
      <c r="I22" s="2" t="str">
        <f>_xlfn.TEXTJOIN(" - ",TRUE,
IF(B22="OFF","Mon",""),
IF(C22="OFF","Tue",""),
IF(D22="OFF","Wed",""),
IF(E22="OFF","Thu",""),
IF(F22="OFF","Fri",""),
IF(G22="OFF","Sat",""),
IF(H22="OFF","Sun",""))</f>
        <v>Wed - Sat - Sun</v>
      </c>
      <c r="J22" s="3">
        <v>0.47916666666666669</v>
      </c>
      <c r="K22" s="3">
        <v>0.72916666666666663</v>
      </c>
      <c r="L22" s="3">
        <v>0.60416666666666663</v>
      </c>
      <c r="M22" s="3">
        <v>0.79166666666666663</v>
      </c>
      <c r="N22" s="33" t="str">
        <f>VLOOKUP(Table2[[#This Row],[Name]],ROSTER!A:B,2,FALSE)</f>
        <v>Michael Dominguez</v>
      </c>
      <c r="O22" s="1" t="s">
        <v>41</v>
      </c>
      <c r="P22">
        <f>IF(O22="OFF",0,IF(VALUE(LEFT(O22,2))&lt;12,0,1))</f>
        <v>0</v>
      </c>
      <c r="R22" s="9"/>
      <c r="S22" s="9"/>
      <c r="T22" s="9"/>
      <c r="U22" s="9"/>
    </row>
    <row r="23" spans="1:21" ht="15">
      <c r="A23" s="6" t="s">
        <v>48</v>
      </c>
      <c r="B23" s="1" t="s">
        <v>41</v>
      </c>
      <c r="C23" s="1" t="s">
        <v>41</v>
      </c>
      <c r="D23" s="1" t="s">
        <v>18</v>
      </c>
      <c r="E23" s="1" t="s">
        <v>41</v>
      </c>
      <c r="F23" s="1" t="s">
        <v>41</v>
      </c>
      <c r="G23" s="1" t="s">
        <v>18</v>
      </c>
      <c r="H23" s="1" t="s">
        <v>18</v>
      </c>
      <c r="I23" s="2" t="str">
        <f>_xlfn.TEXTJOIN(" - ",TRUE,
IF(B23="OFF","Mon",""),
IF(C23="OFF","Tue",""),
IF(D23="OFF","Wed",""),
IF(E23="OFF","Thu",""),
IF(F23="OFF","Fri",""),
IF(G23="OFF","Sat",""),
IF(H23="OFF","Sun",""))</f>
        <v>Wed - Sat - Sun</v>
      </c>
      <c r="J23" s="3">
        <v>0.45833333333333337</v>
      </c>
      <c r="K23" s="3">
        <v>0.66666666666666663</v>
      </c>
      <c r="L23" s="3">
        <v>0.54166666666666663</v>
      </c>
      <c r="M23" s="3">
        <v>0.76041666666666663</v>
      </c>
      <c r="N23" s="33" t="str">
        <f>VLOOKUP(Table2[[#This Row],[Name]],ROSTER!A:B,2,FALSE)</f>
        <v>Remmo Panaligan</v>
      </c>
      <c r="O23" s="1" t="s">
        <v>41</v>
      </c>
      <c r="P23">
        <f>IF(O23="OFF",0,IF(VALUE(LEFT(O23,2))&lt;12,0,1))</f>
        <v>0</v>
      </c>
      <c r="R23" s="9"/>
      <c r="S23" s="9"/>
      <c r="T23" s="9"/>
      <c r="U23" s="9"/>
    </row>
    <row r="24" spans="1:21" ht="15">
      <c r="A24" s="6" t="s">
        <v>49</v>
      </c>
      <c r="B24" s="1" t="s">
        <v>41</v>
      </c>
      <c r="C24" s="1" t="s">
        <v>18</v>
      </c>
      <c r="D24" s="1" t="s">
        <v>41</v>
      </c>
      <c r="E24" s="1" t="s">
        <v>41</v>
      </c>
      <c r="F24" s="1" t="s">
        <v>41</v>
      </c>
      <c r="G24" s="1" t="s">
        <v>18</v>
      </c>
      <c r="H24" s="1" t="s">
        <v>18</v>
      </c>
      <c r="I24" s="2" t="str">
        <f>_xlfn.TEXTJOIN(" - ",TRUE,
IF(B24="OFF","Mon",""),
IF(C24="OFF","Tue",""),
IF(D24="OFF","Wed",""),
IF(E24="OFF","Thu",""),
IF(F24="OFF","Fri",""),
IF(G24="OFF","Sat",""),
IF(H24="OFF","Sun",""))</f>
        <v>Tue - Sat - Sun</v>
      </c>
      <c r="J24" s="3">
        <v>0.46875</v>
      </c>
      <c r="K24" s="3">
        <v>0.6875</v>
      </c>
      <c r="L24" s="3">
        <v>0.55208333333333326</v>
      </c>
      <c r="M24" s="3">
        <v>0.80208333333333326</v>
      </c>
      <c r="N24" s="33" t="str">
        <f>VLOOKUP(Table2[[#This Row],[Name]],ROSTER!A:B,2,FALSE)</f>
        <v>Anmecha Valencia</v>
      </c>
      <c r="O24" s="1" t="s">
        <v>41</v>
      </c>
      <c r="P24">
        <f>IF(O24="OFF",0,IF(VALUE(LEFT(O24,2))&lt;12,0,1))</f>
        <v>0</v>
      </c>
      <c r="R24" s="9"/>
      <c r="S24" s="9"/>
      <c r="T24" s="9"/>
      <c r="U24" s="9"/>
    </row>
    <row r="25" spans="1:21" ht="15">
      <c r="A25" s="6" t="s">
        <v>50</v>
      </c>
      <c r="B25" s="1" t="s">
        <v>51</v>
      </c>
      <c r="C25" s="1" t="s">
        <v>51</v>
      </c>
      <c r="D25" s="1" t="s">
        <v>51</v>
      </c>
      <c r="E25" s="1" t="s">
        <v>18</v>
      </c>
      <c r="F25" s="1" t="s">
        <v>51</v>
      </c>
      <c r="G25" s="1" t="s">
        <v>18</v>
      </c>
      <c r="H25" s="1" t="s">
        <v>18</v>
      </c>
      <c r="I25" s="2" t="str">
        <f>_xlfn.TEXTJOIN(" - ",TRUE,
IF(B25="OFF","Mon",""),
IF(C25="OFF","Tue",""),
IF(D25="OFF","Wed",""),
IF(E25="OFF","Thu",""),
IF(F25="OFF","Fri",""),
IF(G25="OFF","Sat",""),
IF(H25="OFF","Sun",""))</f>
        <v>Thu - Sat - Sun</v>
      </c>
      <c r="J25" s="3">
        <v>0.52083333333333337</v>
      </c>
      <c r="K25" s="3">
        <v>0.66666666666666663</v>
      </c>
      <c r="L25" s="3">
        <v>0.59375</v>
      </c>
      <c r="M25" s="3">
        <v>0.8125</v>
      </c>
      <c r="N25" s="33" t="str">
        <f>VLOOKUP(Table2[[#This Row],[Name]],ROSTER!A:B,2,FALSE)</f>
        <v>Michael Dominguez</v>
      </c>
      <c r="O25" s="1" t="s">
        <v>51</v>
      </c>
      <c r="P25">
        <f>IF(O25="OFF",0,IF(VALUE(LEFT(O25,2))&lt;12,0,1))</f>
        <v>0</v>
      </c>
      <c r="R25" s="9"/>
      <c r="S25" s="9"/>
      <c r="T25" s="9"/>
      <c r="U25" s="9"/>
    </row>
    <row r="26" spans="1:21" ht="15">
      <c r="A26" s="6" t="s">
        <v>52</v>
      </c>
      <c r="B26" s="1" t="s">
        <v>51</v>
      </c>
      <c r="C26" s="1" t="s">
        <v>18</v>
      </c>
      <c r="D26" s="1" t="s">
        <v>51</v>
      </c>
      <c r="E26" s="1" t="s">
        <v>51</v>
      </c>
      <c r="F26" s="1" t="s">
        <v>51</v>
      </c>
      <c r="G26" s="1" t="s">
        <v>18</v>
      </c>
      <c r="H26" s="1" t="s">
        <v>18</v>
      </c>
      <c r="I26" s="2" t="str">
        <f>_xlfn.TEXTJOIN(" - ",TRUE,
IF(B26="OFF","Mon",""),
IF(C26="OFF","Tue",""),
IF(D26="OFF","Wed",""),
IF(E26="OFF","Thu",""),
IF(F26="OFF","Fri",""),
IF(G26="OFF","Sat",""),
IF(H26="OFF","Sun",""))</f>
        <v>Tue - Sat - Sun</v>
      </c>
      <c r="J26" s="3">
        <v>0.51041666666666663</v>
      </c>
      <c r="K26" s="3">
        <v>0.60416666666666663</v>
      </c>
      <c r="L26" s="3">
        <v>0.79166666666666663</v>
      </c>
      <c r="M26" s="3">
        <v>0.69791666666666663</v>
      </c>
      <c r="N26" s="33" t="str">
        <f>VLOOKUP(Table2[[#This Row],[Name]],ROSTER!A:B,2,FALSE)</f>
        <v>Anmecha Valencia</v>
      </c>
      <c r="O26" s="1" t="s">
        <v>51</v>
      </c>
      <c r="P26">
        <f>IF(O26="OFF",0,IF(VALUE(LEFT(O26,2))&lt;12,0,1))</f>
        <v>0</v>
      </c>
      <c r="R26" s="9"/>
      <c r="S26" s="9"/>
      <c r="T26" s="9"/>
      <c r="U26" s="9"/>
    </row>
    <row r="27" spans="1:21" ht="15">
      <c r="A27" s="6" t="s">
        <v>53</v>
      </c>
      <c r="B27" s="1" t="s">
        <v>51</v>
      </c>
      <c r="C27" s="1" t="s">
        <v>51</v>
      </c>
      <c r="D27" s="1" t="s">
        <v>51</v>
      </c>
      <c r="E27" s="1" t="s">
        <v>51</v>
      </c>
      <c r="F27" s="1" t="s">
        <v>18</v>
      </c>
      <c r="G27" s="1" t="s">
        <v>18</v>
      </c>
      <c r="H27" s="1" t="s">
        <v>18</v>
      </c>
      <c r="I27" s="2" t="str">
        <f>_xlfn.TEXTJOIN(" - ",TRUE,
IF(B27="OFF","Mon",""),
IF(C27="OFF","Tue",""),
IF(D27="OFF","Wed",""),
IF(E27="OFF","Thu",""),
IF(F27="OFF","Fri",""),
IF(G27="OFF","Sat",""),
IF(H27="OFF","Sun",""))</f>
        <v>Fri - Sat - Sun</v>
      </c>
      <c r="J27" s="3">
        <v>0.52083333333333337</v>
      </c>
      <c r="K27" s="3">
        <v>0.77083333333333326</v>
      </c>
      <c r="L27" s="3">
        <v>0.64583333333333326</v>
      </c>
      <c r="M27" s="3">
        <v>0.84375</v>
      </c>
      <c r="N27" s="33" t="str">
        <f>VLOOKUP(Table2[[#This Row],[Name]],ROSTER!A:B,2,FALSE)</f>
        <v>Christopher Rodas</v>
      </c>
      <c r="O27" s="1" t="s">
        <v>51</v>
      </c>
      <c r="P27">
        <f>IF(O27="OFF",0,IF(VALUE(LEFT(O27,2))&lt;12,0,1))</f>
        <v>0</v>
      </c>
      <c r="R27" s="9"/>
      <c r="S27" s="9"/>
      <c r="T27" s="9"/>
      <c r="U27" s="9"/>
    </row>
    <row r="28" spans="1:21" ht="15">
      <c r="A28" s="6" t="s">
        <v>54</v>
      </c>
      <c r="B28" s="1" t="s">
        <v>51</v>
      </c>
      <c r="C28" s="1" t="s">
        <v>51</v>
      </c>
      <c r="D28" s="1" t="s">
        <v>51</v>
      </c>
      <c r="E28" s="1" t="s">
        <v>18</v>
      </c>
      <c r="F28" s="1" t="s">
        <v>51</v>
      </c>
      <c r="G28" s="1" t="s">
        <v>18</v>
      </c>
      <c r="H28" s="1" t="s">
        <v>18</v>
      </c>
      <c r="I28" s="2" t="str">
        <f>_xlfn.TEXTJOIN(" - ",TRUE,
IF(B28="OFF","Mon",""),
IF(C28="OFF","Tue",""),
IF(D28="OFF","Wed",""),
IF(E28="OFF","Thu",""),
IF(F28="OFF","Fri",""),
IF(G28="OFF","Sat",""),
IF(H28="OFF","Sun",""))</f>
        <v>Thu - Sat - Sun</v>
      </c>
      <c r="J28" s="3">
        <v>0.5</v>
      </c>
      <c r="K28" s="3">
        <v>0.61458333333333326</v>
      </c>
      <c r="L28" s="3">
        <v>0.6875</v>
      </c>
      <c r="M28" s="3">
        <v>0.8125</v>
      </c>
      <c r="N28" s="33" t="str">
        <f>VLOOKUP(Table2[[#This Row],[Name]],ROSTER!A:B,2,FALSE)</f>
        <v>Anmecha Valencia</v>
      </c>
      <c r="O28" s="1" t="s">
        <v>51</v>
      </c>
      <c r="P28">
        <f>IF(O28="OFF",0,IF(VALUE(LEFT(O28,2))&lt;12,0,1))</f>
        <v>0</v>
      </c>
      <c r="R28" s="9"/>
      <c r="S28" s="9"/>
      <c r="T28" s="9"/>
      <c r="U28" s="9"/>
    </row>
    <row r="29" spans="1:21" ht="15">
      <c r="A29" s="6" t="s">
        <v>55</v>
      </c>
      <c r="B29" s="1" t="s">
        <v>51</v>
      </c>
      <c r="C29" s="1" t="s">
        <v>51</v>
      </c>
      <c r="D29" s="1" t="s">
        <v>18</v>
      </c>
      <c r="E29" s="1" t="s">
        <v>51</v>
      </c>
      <c r="F29" s="1" t="s">
        <v>51</v>
      </c>
      <c r="G29" s="1" t="s">
        <v>18</v>
      </c>
      <c r="H29" s="1" t="s">
        <v>18</v>
      </c>
      <c r="I29" s="2" t="str">
        <f>_xlfn.TEXTJOIN(" - ",TRUE,
IF(B29="OFF","Mon",""),
IF(C29="OFF","Tue",""),
IF(D29="OFF","Wed",""),
IF(E29="OFF","Thu",""),
IF(F29="OFF","Fri",""),
IF(G29="OFF","Sat",""),
IF(H29="OFF","Sun",""))</f>
        <v>Wed - Sat - Sun</v>
      </c>
      <c r="J29" s="3">
        <v>0.53125</v>
      </c>
      <c r="K29" s="3">
        <v>0.61458333333333326</v>
      </c>
      <c r="L29" s="3">
        <v>0.70833333333333326</v>
      </c>
      <c r="M29" s="3">
        <v>0.79166666666666663</v>
      </c>
      <c r="N29" s="33" t="str">
        <f>VLOOKUP(Table2[[#This Row],[Name]],ROSTER!A:B,2,FALSE)</f>
        <v>Anmecha Valencia</v>
      </c>
      <c r="O29" s="1" t="s">
        <v>51</v>
      </c>
      <c r="P29">
        <f>IF(O29="OFF",0,IF(VALUE(LEFT(O29,2))&lt;12,0,1))</f>
        <v>0</v>
      </c>
      <c r="R29" s="9"/>
      <c r="S29" s="9"/>
      <c r="T29" s="9"/>
      <c r="U29" s="9"/>
    </row>
    <row r="30" spans="1:21" ht="15">
      <c r="A30" s="6" t="s">
        <v>56</v>
      </c>
      <c r="B30" s="1" t="s">
        <v>51</v>
      </c>
      <c r="C30" s="1" t="s">
        <v>51</v>
      </c>
      <c r="D30" s="1" t="s">
        <v>51</v>
      </c>
      <c r="E30" s="1" t="s">
        <v>18</v>
      </c>
      <c r="F30" s="1" t="s">
        <v>51</v>
      </c>
      <c r="G30" s="1" t="s">
        <v>18</v>
      </c>
      <c r="H30" s="1" t="s">
        <v>18</v>
      </c>
      <c r="I30" s="2" t="str">
        <f>_xlfn.TEXTJOIN(" - ",TRUE,
IF(B30="OFF","Mon",""),
IF(C30="OFF","Tue",""),
IF(D30="OFF","Wed",""),
IF(E30="OFF","Thu",""),
IF(F30="OFF","Fri",""),
IF(G30="OFF","Sat",""),
IF(H30="OFF","Sun",""))</f>
        <v>Thu - Sat - Sun</v>
      </c>
      <c r="J30" s="3">
        <v>0.5</v>
      </c>
      <c r="K30" s="3">
        <v>0.59375</v>
      </c>
      <c r="L30" s="3">
        <v>0.66666666666666663</v>
      </c>
      <c r="M30" s="3">
        <v>0.8125</v>
      </c>
      <c r="N30" s="33" t="str">
        <f>VLOOKUP(Table2[[#This Row],[Name]],ROSTER!A:B,2,FALSE)</f>
        <v>Anmecha Valencia</v>
      </c>
      <c r="O30" s="1" t="s">
        <v>51</v>
      </c>
      <c r="P30">
        <f>IF(O30="OFF",0,IF(VALUE(LEFT(O30,2))&lt;12,0,1))</f>
        <v>0</v>
      </c>
      <c r="R30" s="9"/>
      <c r="S30" s="9"/>
      <c r="T30" s="9"/>
      <c r="U30" s="9"/>
    </row>
    <row r="31" spans="1:21" ht="15">
      <c r="A31" s="6" t="s">
        <v>57</v>
      </c>
      <c r="B31" s="1" t="s">
        <v>51</v>
      </c>
      <c r="C31" s="1" t="s">
        <v>51</v>
      </c>
      <c r="D31" s="1" t="s">
        <v>18</v>
      </c>
      <c r="E31" s="1" t="s">
        <v>51</v>
      </c>
      <c r="F31" s="1" t="s">
        <v>51</v>
      </c>
      <c r="G31" s="1" t="s">
        <v>18</v>
      </c>
      <c r="H31" s="1" t="s">
        <v>18</v>
      </c>
      <c r="I31" s="2" t="str">
        <f>_xlfn.TEXTJOIN(" - ",TRUE,
IF(B31="OFF","Mon",""),
IF(C31="OFF","Tue",""),
IF(D31="OFF","Wed",""),
IF(E31="OFF","Thu",""),
IF(F31="OFF","Fri",""),
IF(G31="OFF","Sat",""),
IF(H31="OFF","Sun",""))</f>
        <v>Wed - Sat - Sun</v>
      </c>
      <c r="J31" s="3">
        <v>0.53125</v>
      </c>
      <c r="K31" s="3">
        <v>0.73958333333333326</v>
      </c>
      <c r="L31" s="3">
        <v>0.61458333333333326</v>
      </c>
      <c r="M31" s="3">
        <v>0.82291666666666663</v>
      </c>
      <c r="N31" s="33" t="str">
        <f>VLOOKUP(Table2[[#This Row],[Name]],ROSTER!A:B,2,FALSE)</f>
        <v>Michael Dominguez</v>
      </c>
      <c r="O31" s="1" t="s">
        <v>51</v>
      </c>
      <c r="P31">
        <f>IF(O31="OFF",0,IF(VALUE(LEFT(O31,2))&lt;12,0,1))</f>
        <v>0</v>
      </c>
      <c r="R31" s="9"/>
      <c r="S31" s="9"/>
      <c r="T31" s="9"/>
      <c r="U31" s="9"/>
    </row>
    <row r="32" spans="1:21" ht="15">
      <c r="A32" s="6" t="s">
        <v>58</v>
      </c>
      <c r="B32" s="1" t="s">
        <v>51</v>
      </c>
      <c r="C32" s="1" t="s">
        <v>51</v>
      </c>
      <c r="D32" s="1" t="s">
        <v>51</v>
      </c>
      <c r="E32" s="1" t="s">
        <v>51</v>
      </c>
      <c r="F32" s="1" t="s">
        <v>18</v>
      </c>
      <c r="G32" s="1" t="s">
        <v>18</v>
      </c>
      <c r="H32" s="1" t="s">
        <v>18</v>
      </c>
      <c r="I32" s="2" t="str">
        <f>_xlfn.TEXTJOIN(" - ",TRUE,
IF(B32="OFF","Mon",""),
IF(C32="OFF","Tue",""),
IF(D32="OFF","Wed",""),
IF(E32="OFF","Thu",""),
IF(F32="OFF","Fri",""),
IF(G32="OFF","Sat",""),
IF(H32="OFF","Sun",""))</f>
        <v>Fri - Sat - Sun</v>
      </c>
      <c r="J32" s="3">
        <v>0.5</v>
      </c>
      <c r="K32" s="3">
        <v>0.71875</v>
      </c>
      <c r="L32" s="3">
        <v>0.59375</v>
      </c>
      <c r="M32" s="3">
        <v>0.8125</v>
      </c>
      <c r="N32" s="33" t="str">
        <f>VLOOKUP(Table2[[#This Row],[Name]],ROSTER!A:B,2,FALSE)</f>
        <v>Anmecha Valencia</v>
      </c>
      <c r="O32" s="1" t="s">
        <v>51</v>
      </c>
      <c r="P32">
        <f>IF(O32="OFF",0,IF(VALUE(LEFT(O32,2))&lt;12,0,1))</f>
        <v>0</v>
      </c>
      <c r="R32" s="9"/>
      <c r="S32" s="9"/>
      <c r="T32" s="9"/>
      <c r="U32" s="9"/>
    </row>
    <row r="33" spans="1:102" s="8" customFormat="1" ht="15">
      <c r="A33" s="6" t="s">
        <v>59</v>
      </c>
      <c r="B33" s="1" t="s">
        <v>51</v>
      </c>
      <c r="C33" s="1" t="s">
        <v>51</v>
      </c>
      <c r="D33" s="1" t="s">
        <v>18</v>
      </c>
      <c r="E33" s="1" t="s">
        <v>51</v>
      </c>
      <c r="F33" s="1" t="s">
        <v>51</v>
      </c>
      <c r="G33" s="1" t="s">
        <v>18</v>
      </c>
      <c r="H33" s="1" t="s">
        <v>18</v>
      </c>
      <c r="I33" s="2" t="str">
        <f>_xlfn.TEXTJOIN(" - ",TRUE,
IF(B33="OFF","Mon",""),
IF(C33="OFF","Tue",""),
IF(D33="OFF","Wed",""),
IF(E33="OFF","Thu",""),
IF(F33="OFF","Fri",""),
IF(G33="OFF","Sat",""),
IF(H33="OFF","Sun",""))</f>
        <v>Wed - Sat - Sun</v>
      </c>
      <c r="J33" s="3">
        <v>0.52083333333333337</v>
      </c>
      <c r="K33" s="3">
        <v>0.71875</v>
      </c>
      <c r="L33" s="3">
        <v>0.61458333333333326</v>
      </c>
      <c r="M33" s="3">
        <v>0.82291666666666663</v>
      </c>
      <c r="N33" s="33" t="str">
        <f>VLOOKUP(Table2[[#This Row],[Name]],ROSTER!A:B,2,FALSE)</f>
        <v>Remmo Panaligan</v>
      </c>
      <c r="O33" s="1" t="s">
        <v>51</v>
      </c>
      <c r="P33">
        <f>IF(O33="OFF",0,IF(VALUE(LEFT(O33,2))&lt;12,0,1))</f>
        <v>0</v>
      </c>
      <c r="Q33"/>
      <c r="R33" s="9"/>
      <c r="S33" s="9"/>
      <c r="T33" s="9"/>
      <c r="U33" s="9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</row>
    <row r="34" spans="1:102" ht="15">
      <c r="A34" s="6" t="s">
        <v>60</v>
      </c>
      <c r="B34" s="1" t="s">
        <v>51</v>
      </c>
      <c r="C34" s="1" t="s">
        <v>18</v>
      </c>
      <c r="D34" s="1" t="s">
        <v>18</v>
      </c>
      <c r="E34" s="1" t="s">
        <v>18</v>
      </c>
      <c r="F34" s="1" t="s">
        <v>51</v>
      </c>
      <c r="G34" s="1" t="s">
        <v>51</v>
      </c>
      <c r="H34" s="1" t="s">
        <v>51</v>
      </c>
      <c r="I34" s="2" t="str">
        <f>_xlfn.TEXTJOIN(" - ",TRUE,
IF(B34="OFF","Mon",""),
IF(C34="OFF","Tue",""),
IF(D34="OFF","Wed",""),
IF(E34="OFF","Thu",""),
IF(F34="OFF","Fri",""),
IF(G34="OFF","Sat",""),
IF(H34="OFF","Sun",""))</f>
        <v>Tue - Wed - Thu</v>
      </c>
      <c r="J34" s="3">
        <v>0.51041666666666663</v>
      </c>
      <c r="K34" s="3">
        <v>0.60416666666666663</v>
      </c>
      <c r="L34" s="3">
        <v>0.66666666666666663</v>
      </c>
      <c r="M34" s="3">
        <v>0.8125</v>
      </c>
      <c r="N34" s="33" t="str">
        <f>VLOOKUP(Table2[[#This Row],[Name]],ROSTER!A:B,2,FALSE)</f>
        <v>Christopher Rodas</v>
      </c>
      <c r="O34" s="1" t="s">
        <v>51</v>
      </c>
      <c r="P34">
        <f>IF(O34="OFF",0,IF(VALUE(LEFT(O34,2))&lt;12,0,1))</f>
        <v>0</v>
      </c>
      <c r="R34" s="9"/>
      <c r="S34" s="9"/>
      <c r="T34" s="9"/>
      <c r="U34" s="9"/>
    </row>
    <row r="35" spans="1:102" ht="15">
      <c r="A35" s="6" t="s">
        <v>61</v>
      </c>
      <c r="B35" s="1" t="s">
        <v>51</v>
      </c>
      <c r="C35" s="1" t="s">
        <v>18</v>
      </c>
      <c r="D35" s="1" t="s">
        <v>18</v>
      </c>
      <c r="E35" s="1" t="s">
        <v>18</v>
      </c>
      <c r="F35" s="1" t="s">
        <v>51</v>
      </c>
      <c r="G35" s="1" t="s">
        <v>51</v>
      </c>
      <c r="H35" s="1" t="s">
        <v>51</v>
      </c>
      <c r="I35" s="2" t="str">
        <f>_xlfn.TEXTJOIN(" - ",TRUE,
IF(B35="OFF","Mon",""),
IF(C35="OFF","Tue",""),
IF(D35="OFF","Wed",""),
IF(E35="OFF","Thu",""),
IF(F35="OFF","Fri",""),
IF(G35="OFF","Sat",""),
IF(H35="OFF","Sun",""))</f>
        <v>Tue - Wed - Thu</v>
      </c>
      <c r="J35" s="3">
        <v>0.48958333333333337</v>
      </c>
      <c r="K35" s="3">
        <v>0.69791666666666663</v>
      </c>
      <c r="L35" s="3">
        <v>0.5625</v>
      </c>
      <c r="M35" s="3">
        <v>0.80208333333333326</v>
      </c>
      <c r="N35" s="33" t="str">
        <f>VLOOKUP(Table2[[#This Row],[Name]],ROSTER!A:B,2,FALSE)</f>
        <v>Anmecha Valencia</v>
      </c>
      <c r="O35" s="1" t="s">
        <v>51</v>
      </c>
      <c r="P35">
        <f>IF(O35="OFF",0,IF(VALUE(LEFT(O35,2))&lt;12,0,1))</f>
        <v>0</v>
      </c>
      <c r="R35" s="9"/>
      <c r="S35" s="9"/>
      <c r="T35" s="9"/>
      <c r="U35" s="9"/>
    </row>
    <row r="36" spans="1:102" ht="15">
      <c r="A36" s="6" t="s">
        <v>62</v>
      </c>
      <c r="B36" s="1" t="s">
        <v>51</v>
      </c>
      <c r="C36" s="1" t="s">
        <v>51</v>
      </c>
      <c r="D36" s="1" t="s">
        <v>51</v>
      </c>
      <c r="E36" s="1" t="s">
        <v>18</v>
      </c>
      <c r="F36" s="1" t="s">
        <v>51</v>
      </c>
      <c r="G36" s="1" t="s">
        <v>18</v>
      </c>
      <c r="H36" s="1" t="s">
        <v>18</v>
      </c>
      <c r="I36" s="2" t="str">
        <f>_xlfn.TEXTJOIN(" - ",TRUE,
IF(B36="OFF","Mon",""),
IF(C36="OFF","Tue",""),
IF(D36="OFF","Wed",""),
IF(E36="OFF","Thu",""),
IF(F36="OFF","Fri",""),
IF(G36="OFF","Sat",""),
IF(H36="OFF","Sun",""))</f>
        <v>Thu - Sat - Sun</v>
      </c>
      <c r="J36" s="3">
        <v>0.53125</v>
      </c>
      <c r="K36" s="3">
        <v>0.77083333333333326</v>
      </c>
      <c r="L36" s="3">
        <v>0.64583333333333326</v>
      </c>
      <c r="M36" s="3">
        <v>0.85416666666666663</v>
      </c>
      <c r="N36" s="33" t="str">
        <f>VLOOKUP(Table2[[#This Row],[Name]],ROSTER!A:B,2,FALSE)</f>
        <v>Anmecha Valencia</v>
      </c>
      <c r="O36" s="1" t="s">
        <v>51</v>
      </c>
      <c r="P36">
        <f>IF(O36="OFF",0,IF(VALUE(LEFT(O36,2))&lt;12,0,1))</f>
        <v>0</v>
      </c>
      <c r="R36" s="9"/>
      <c r="S36" s="9"/>
      <c r="T36" s="9"/>
      <c r="U36" s="9"/>
    </row>
    <row r="37" spans="1:102" ht="15">
      <c r="A37" s="6" t="s">
        <v>63</v>
      </c>
      <c r="B37" s="1" t="s">
        <v>64</v>
      </c>
      <c r="C37" s="1" t="s">
        <v>64</v>
      </c>
      <c r="D37" s="1" t="s">
        <v>64</v>
      </c>
      <c r="E37" s="1" t="s">
        <v>64</v>
      </c>
      <c r="F37" s="1" t="s">
        <v>18</v>
      </c>
      <c r="G37" s="1" t="s">
        <v>18</v>
      </c>
      <c r="H37" s="1" t="s">
        <v>18</v>
      </c>
      <c r="I37" s="2" t="str">
        <f>_xlfn.TEXTJOIN(" - ",TRUE,
IF(B37="OFF","Mon",""),
IF(C37="OFF","Tue",""),
IF(D37="OFF","Wed",""),
IF(E37="OFF","Thu",""),
IF(F37="OFF","Fri",""),
IF(G37="OFF","Sat",""),
IF(H37="OFF","Sun",""))</f>
        <v>Fri - Sat - Sun</v>
      </c>
      <c r="J37" s="3">
        <v>0.55208333333333326</v>
      </c>
      <c r="K37" s="3">
        <v>0.63541666666666663</v>
      </c>
      <c r="L37" s="3">
        <v>0.72916666666666663</v>
      </c>
      <c r="M37" s="3">
        <v>0.85416666666666663</v>
      </c>
      <c r="N37" s="33" t="str">
        <f>VLOOKUP(Table2[[#This Row],[Name]],ROSTER!A:B,2,FALSE)</f>
        <v>Michael Dominguez</v>
      </c>
      <c r="O37" s="1" t="s">
        <v>64</v>
      </c>
      <c r="P37">
        <f>IF(O37="OFF",0,IF(VALUE(LEFT(O37,2))&lt;12,0,1))</f>
        <v>0</v>
      </c>
      <c r="R37" s="9"/>
      <c r="S37" s="9"/>
      <c r="T37" s="9"/>
      <c r="U37" s="9"/>
    </row>
    <row r="38" spans="1:102" ht="15">
      <c r="A38" s="6" t="s">
        <v>65</v>
      </c>
      <c r="B38" s="1" t="s">
        <v>66</v>
      </c>
      <c r="C38" s="1" t="s">
        <v>66</v>
      </c>
      <c r="D38" s="1" t="s">
        <v>18</v>
      </c>
      <c r="E38" s="1" t="s">
        <v>18</v>
      </c>
      <c r="F38" s="1" t="s">
        <v>18</v>
      </c>
      <c r="G38" s="1" t="s">
        <v>66</v>
      </c>
      <c r="H38" s="1" t="s">
        <v>66</v>
      </c>
      <c r="I38" s="2" t="str">
        <f>_xlfn.TEXTJOIN(" - ",TRUE,
IF(B38="OFF","Mon",""),
IF(C38="OFF","Tue",""),
IF(D38="OFF","Wed",""),
IF(E38="OFF","Thu",""),
IF(F38="OFF","Fri",""),
IF(G38="OFF","Sat",""),
IF(H38="OFF","Sun",""))</f>
        <v>Wed - Thu - Fri</v>
      </c>
      <c r="J38" s="3">
        <v>0.57291666666666663</v>
      </c>
      <c r="K38" s="3">
        <v>0.80208333333333326</v>
      </c>
      <c r="L38" s="3">
        <v>0.6875</v>
      </c>
      <c r="M38" s="3">
        <v>0.91666666666666663</v>
      </c>
      <c r="N38" s="33" t="str">
        <f>VLOOKUP(Table2[[#This Row],[Name]],ROSTER!A:B,2,FALSE)</f>
        <v>Michael Dominguez</v>
      </c>
      <c r="O38" s="1" t="s">
        <v>66</v>
      </c>
      <c r="P38">
        <f>IF(O38="OFF",0,IF(VALUE(LEFT(O38,2))&lt;12,0,1))</f>
        <v>0</v>
      </c>
      <c r="R38" s="9"/>
      <c r="S38" s="9"/>
      <c r="T38" s="9"/>
      <c r="U38" s="9"/>
    </row>
    <row r="39" spans="1:102" ht="15">
      <c r="A39" s="6" t="s">
        <v>67</v>
      </c>
      <c r="B39" s="1" t="s">
        <v>68</v>
      </c>
      <c r="C39" s="1" t="s">
        <v>68</v>
      </c>
      <c r="D39" s="1" t="s">
        <v>68</v>
      </c>
      <c r="E39" s="1" t="s">
        <v>68</v>
      </c>
      <c r="F39" s="1" t="s">
        <v>18</v>
      </c>
      <c r="G39" s="1" t="s">
        <v>18</v>
      </c>
      <c r="H39" s="1" t="s">
        <v>18</v>
      </c>
      <c r="I39" s="2" t="str">
        <f>_xlfn.TEXTJOIN(" - ",TRUE,
IF(B39="OFF","Mon",""),
IF(C39="OFF","Tue",""),
IF(D39="OFF","Wed",""),
IF(E39="OFF","Thu",""),
IF(F39="OFF","Fri",""),
IF(G39="OFF","Sat",""),
IF(H39="OFF","Sun",""))</f>
        <v>Fri - Sat - Sun</v>
      </c>
      <c r="J39" s="3">
        <v>0.58333333333333326</v>
      </c>
      <c r="K39" s="3">
        <v>0.67708333333333326</v>
      </c>
      <c r="L39" s="3">
        <v>0.77083333333333326</v>
      </c>
      <c r="M39" s="3">
        <v>0.89583333333333326</v>
      </c>
      <c r="N39" s="33" t="str">
        <f>VLOOKUP(Table2[[#This Row],[Name]],ROSTER!A:B,2,FALSE)</f>
        <v>Anmecha Valencia</v>
      </c>
      <c r="O39" s="1" t="s">
        <v>68</v>
      </c>
      <c r="P39">
        <f>IF(O39="OFF",0,IF(VALUE(LEFT(O39,2))&lt;12,0,1))</f>
        <v>1</v>
      </c>
      <c r="R39" s="9"/>
      <c r="S39" s="9"/>
      <c r="T39" s="9"/>
      <c r="U39" s="9"/>
    </row>
    <row r="40" spans="1:102" ht="15">
      <c r="A40" s="6" t="s">
        <v>69</v>
      </c>
      <c r="B40" s="1" t="s">
        <v>68</v>
      </c>
      <c r="C40" s="1" t="s">
        <v>68</v>
      </c>
      <c r="D40" s="1" t="s">
        <v>68</v>
      </c>
      <c r="E40" s="1" t="s">
        <v>68</v>
      </c>
      <c r="F40" s="1" t="s">
        <v>18</v>
      </c>
      <c r="G40" s="1" t="s">
        <v>18</v>
      </c>
      <c r="H40" s="1" t="s">
        <v>18</v>
      </c>
      <c r="I40" s="2" t="str">
        <f>_xlfn.TEXTJOIN(" - ",TRUE,
IF(B40="OFF","Mon",""),
IF(C40="OFF","Tue",""),
IF(D40="OFF","Wed",""),
IF(E40="OFF","Thu",""),
IF(F40="OFF","Fri",""),
IF(G40="OFF","Sat",""),
IF(H40="OFF","Sun",""))</f>
        <v>Fri - Sat - Sun</v>
      </c>
      <c r="J40" s="3">
        <v>0.58333333333333326</v>
      </c>
      <c r="K40" s="3">
        <v>0.80208333333333326</v>
      </c>
      <c r="L40" s="3">
        <v>0.67708333333333326</v>
      </c>
      <c r="M40" s="3">
        <v>0.90625</v>
      </c>
      <c r="N40" s="33" t="str">
        <f>VLOOKUP(Table2[[#This Row],[Name]],ROSTER!A:B,2,FALSE)</f>
        <v>Remmo Panaligan</v>
      </c>
      <c r="O40" s="1" t="s">
        <v>68</v>
      </c>
      <c r="P40">
        <f>IF(O40="OFF",0,IF(VALUE(LEFT(O40,2))&lt;12,0,1))</f>
        <v>1</v>
      </c>
      <c r="R40" s="9"/>
      <c r="S40" s="9"/>
      <c r="T40" s="9"/>
      <c r="U40" s="9"/>
    </row>
    <row r="41" spans="1:102" ht="15">
      <c r="A41" s="6" t="s">
        <v>70</v>
      </c>
      <c r="B41" s="1" t="s">
        <v>71</v>
      </c>
      <c r="C41" s="1" t="s">
        <v>71</v>
      </c>
      <c r="D41" s="1" t="s">
        <v>71</v>
      </c>
      <c r="E41" s="1" t="s">
        <v>18</v>
      </c>
      <c r="F41" s="1" t="s">
        <v>18</v>
      </c>
      <c r="G41" s="1" t="s">
        <v>18</v>
      </c>
      <c r="H41" s="1" t="s">
        <v>71</v>
      </c>
      <c r="I41" s="2" t="str">
        <f>_xlfn.TEXTJOIN(" - ",TRUE,
IF(B41="OFF","Mon",""),
IF(C41="OFF","Tue",""),
IF(D41="OFF","Wed",""),
IF(E41="OFF","Thu",""),
IF(F41="OFF","Fri",""),
IF(G41="OFF","Sat",""),
IF(H41="OFF","Sun",""))</f>
        <v>Thu - Fri - Sat</v>
      </c>
      <c r="J41" s="3">
        <v>0.65625</v>
      </c>
      <c r="K41" s="3">
        <v>0.85416666666666663</v>
      </c>
      <c r="L41" s="3">
        <v>0.72916666666666663</v>
      </c>
      <c r="M41" s="3">
        <v>0.95833333333333326</v>
      </c>
      <c r="N41" s="33" t="str">
        <f>VLOOKUP(Table2[[#This Row],[Name]],ROSTER!A:B,2,FALSE)</f>
        <v>Remmo Panaligan</v>
      </c>
      <c r="O41" s="1" t="s">
        <v>71</v>
      </c>
      <c r="P41">
        <f>IF(O41="OFF",0,IF(VALUE(LEFT(O41,2))&lt;12,0,1))</f>
        <v>1</v>
      </c>
      <c r="R41" s="9"/>
      <c r="S41" s="9"/>
      <c r="T41" s="9"/>
      <c r="U41" s="9"/>
    </row>
    <row r="42" spans="1:102" ht="15">
      <c r="A42" s="6" t="s">
        <v>72</v>
      </c>
      <c r="B42" s="1" t="s">
        <v>71</v>
      </c>
      <c r="C42" s="1" t="s">
        <v>71</v>
      </c>
      <c r="D42" s="1" t="s">
        <v>71</v>
      </c>
      <c r="E42" s="1" t="s">
        <v>71</v>
      </c>
      <c r="F42" s="1" t="s">
        <v>18</v>
      </c>
      <c r="G42" s="1" t="s">
        <v>18</v>
      </c>
      <c r="H42" s="1" t="s">
        <v>18</v>
      </c>
      <c r="I42" s="2" t="str">
        <f>_xlfn.TEXTJOIN(" - ",TRUE,
IF(B42="OFF","Mon",""),
IF(C42="OFF","Tue",""),
IF(D42="OFF","Wed",""),
IF(E42="OFF","Thu",""),
IF(F42="OFF","Fri",""),
IF(G42="OFF","Sat",""),
IF(H42="OFF","Sun",""))</f>
        <v>Fri - Sat - Sun</v>
      </c>
      <c r="J42" s="3">
        <v>0.66666666666666663</v>
      </c>
      <c r="K42" s="3">
        <v>0.91666666666666663</v>
      </c>
      <c r="L42" s="3">
        <v>0.79166666666666663</v>
      </c>
      <c r="M42" s="3">
        <v>1.0208333333333333</v>
      </c>
      <c r="N42" s="33" t="str">
        <f>VLOOKUP(Table2[[#This Row],[Name]],ROSTER!A:B,2,FALSE)</f>
        <v>Manilyn Abellar</v>
      </c>
      <c r="O42" s="1" t="s">
        <v>71</v>
      </c>
      <c r="P42">
        <f>IF(O42="OFF",0,IF(VALUE(LEFT(O42,2))&lt;12,0,1))</f>
        <v>1</v>
      </c>
      <c r="R42" s="9"/>
      <c r="S42" s="9"/>
      <c r="T42" s="9"/>
      <c r="U42" s="9"/>
    </row>
    <row r="43" spans="1:102" ht="15">
      <c r="A43" s="6" t="s">
        <v>73</v>
      </c>
      <c r="B43" s="1" t="s">
        <v>74</v>
      </c>
      <c r="C43" s="1" t="s">
        <v>74</v>
      </c>
      <c r="D43" s="1" t="s">
        <v>74</v>
      </c>
      <c r="E43" s="1" t="s">
        <v>18</v>
      </c>
      <c r="F43" s="1" t="s">
        <v>18</v>
      </c>
      <c r="G43" s="1" t="s">
        <v>18</v>
      </c>
      <c r="H43" s="1" t="s">
        <v>74</v>
      </c>
      <c r="I43" s="2" t="str">
        <f>_xlfn.TEXTJOIN(" - ",TRUE,
IF(B43="OFF","Mon",""),
IF(C43="OFF","Tue",""),
IF(D43="OFF","Wed",""),
IF(E43="OFF","Thu",""),
IF(F43="OFF","Fri",""),
IF(G43="OFF","Sat",""),
IF(H43="OFF","Sun",""))</f>
        <v>Thu - Fri - Sat</v>
      </c>
      <c r="J43" s="3">
        <v>0.83333333333333326</v>
      </c>
      <c r="K43" s="3">
        <v>6.25E-2</v>
      </c>
      <c r="L43" s="3">
        <v>0.91666666666666663</v>
      </c>
      <c r="M43" s="3">
        <v>0.15625</v>
      </c>
      <c r="N43" s="33" t="str">
        <f>VLOOKUP(Table2[[#This Row],[Name]],ROSTER!A:B,2,FALSE)</f>
        <v>Christopher Rodas</v>
      </c>
      <c r="O43" s="1" t="s">
        <v>74</v>
      </c>
      <c r="P43">
        <f>IF(O43="OFF",0,IF(VALUE(LEFT(O43,2))&lt;12,0,1))</f>
        <v>1</v>
      </c>
      <c r="R43" s="9"/>
      <c r="S43" s="9"/>
      <c r="T43" s="9"/>
      <c r="U43" s="9"/>
    </row>
    <row r="44" spans="1:102" ht="15">
      <c r="A44" s="6" t="s">
        <v>75</v>
      </c>
      <c r="B44" s="1" t="s">
        <v>76</v>
      </c>
      <c r="C44" s="1" t="s">
        <v>76</v>
      </c>
      <c r="D44" s="1" t="s">
        <v>18</v>
      </c>
      <c r="E44" s="1" t="s">
        <v>18</v>
      </c>
      <c r="F44" s="1" t="s">
        <v>76</v>
      </c>
      <c r="G44" s="1" t="s">
        <v>18</v>
      </c>
      <c r="H44" s="1" t="s">
        <v>76</v>
      </c>
      <c r="I44" s="2" t="str">
        <f>_xlfn.TEXTJOIN(" - ",TRUE,
IF(B44="OFF","Mon",""),
IF(C44="OFF","Tue",""),
IF(D44="OFF","Wed",""),
IF(E44="OFF","Thu",""),
IF(F44="OFF","Fri",""),
IF(G44="OFF","Sat",""),
IF(H44="OFF","Sun",""))</f>
        <v>Wed - Thu - Sat</v>
      </c>
      <c r="J44" s="3">
        <v>0.9375</v>
      </c>
      <c r="K44" s="3">
        <v>0.14583333333333334</v>
      </c>
      <c r="L44" s="3">
        <v>1.0208333333333333</v>
      </c>
      <c r="M44" s="3">
        <v>0.22916666666666666</v>
      </c>
      <c r="N44" s="33" t="str">
        <f>VLOOKUP(Table2[[#This Row],[Name]],ROSTER!A:B,2,FALSE)</f>
        <v>Christopher Rodas</v>
      </c>
      <c r="O44" s="1" t="s">
        <v>76</v>
      </c>
      <c r="P44">
        <f>IF(O44="OFF",0,IF(VALUE(LEFT(O44,2))&lt;12,0,1))</f>
        <v>1</v>
      </c>
      <c r="R44" s="9"/>
      <c r="S44" s="9"/>
      <c r="T44" s="9"/>
      <c r="U44" s="9"/>
    </row>
    <row r="45" spans="1:102" ht="15">
      <c r="A45" s="6" t="s">
        <v>77</v>
      </c>
      <c r="B45" s="1" t="s">
        <v>78</v>
      </c>
      <c r="C45" s="1" t="s">
        <v>78</v>
      </c>
      <c r="D45" s="1" t="s">
        <v>18</v>
      </c>
      <c r="E45" s="1" t="s">
        <v>18</v>
      </c>
      <c r="F45" s="1" t="s">
        <v>18</v>
      </c>
      <c r="G45" s="1" t="s">
        <v>78</v>
      </c>
      <c r="H45" s="1" t="s">
        <v>78</v>
      </c>
      <c r="I45" s="2" t="str">
        <f>_xlfn.TEXTJOIN(" - ",TRUE,
IF(B45="OFF","Mon",""),
IF(C45="OFF","Tue",""),
IF(D45="OFF","Wed",""),
IF(E45="OFF","Thu",""),
IF(F45="OFF","Fri",""),
IF(G45="OFF","Sat",""),
IF(H45="OFF","Sun",""))</f>
        <v>Wed - Thu - Fri</v>
      </c>
      <c r="J45" s="3">
        <v>1</v>
      </c>
      <c r="K45" s="3">
        <v>0.10416666666666666</v>
      </c>
      <c r="L45" s="3">
        <v>0.20833333333333331</v>
      </c>
      <c r="M45" s="3">
        <v>0.33333333333333337</v>
      </c>
      <c r="N45" s="33" t="str">
        <f>VLOOKUP(Table2[[#This Row],[Name]],ROSTER!A:B,2,FALSE)</f>
        <v>Anmecha Valencia</v>
      </c>
      <c r="O45" s="1" t="s">
        <v>78</v>
      </c>
      <c r="P45">
        <f>IF(O45="OFF",0,IF(VALUE(LEFT(O45,2))&lt;12,0,1))</f>
        <v>1</v>
      </c>
      <c r="R45" s="9"/>
      <c r="S45" s="9"/>
      <c r="T45" s="9"/>
      <c r="U45" s="9"/>
    </row>
    <row r="46" spans="1:102" ht="15">
      <c r="A46" s="6" t="s">
        <v>79</v>
      </c>
      <c r="B46" s="1" t="s">
        <v>78</v>
      </c>
      <c r="C46" s="1" t="s">
        <v>18</v>
      </c>
      <c r="D46" s="1" t="s">
        <v>18</v>
      </c>
      <c r="E46" s="1" t="s">
        <v>78</v>
      </c>
      <c r="F46" s="1" t="s">
        <v>78</v>
      </c>
      <c r="G46" s="1" t="s">
        <v>18</v>
      </c>
      <c r="H46" s="1" t="s">
        <v>78</v>
      </c>
      <c r="I46" s="2" t="str">
        <f>_xlfn.TEXTJOIN(" - ",TRUE,
IF(B46="OFF","Mon",""),
IF(C46="OFF","Tue",""),
IF(D46="OFF","Wed",""),
IF(E46="OFF","Thu",""),
IF(F46="OFF","Fri",""),
IF(G46="OFF","Sat",""),
IF(H46="OFF","Sun",""))</f>
        <v>Tue - Wed - Sat</v>
      </c>
      <c r="J46" s="3">
        <v>0.16666666666666666</v>
      </c>
      <c r="K46" s="3">
        <v>0.26041666666666669</v>
      </c>
      <c r="L46" s="3">
        <v>4.1666666666666664E-2</v>
      </c>
      <c r="M46" s="3">
        <v>0.33333333333333337</v>
      </c>
      <c r="N46" s="33" t="str">
        <f>VLOOKUP(Table2[[#This Row],[Name]],ROSTER!A:B,2,FALSE)</f>
        <v>Remmo Panaligan</v>
      </c>
      <c r="O46" s="1" t="s">
        <v>78</v>
      </c>
      <c r="P46">
        <f>IF(O46="OFF",0,IF(VALUE(LEFT(O46,2))&lt;12,0,1))</f>
        <v>1</v>
      </c>
      <c r="R46" s="9"/>
      <c r="S46" s="9"/>
      <c r="T46" s="9"/>
      <c r="U46" s="9"/>
    </row>
    <row r="47" spans="1:102" ht="15">
      <c r="A47" s="6" t="s">
        <v>80</v>
      </c>
      <c r="B47" s="5" t="s">
        <v>81</v>
      </c>
      <c r="C47" s="5" t="s">
        <v>81</v>
      </c>
      <c r="D47" s="1" t="s">
        <v>18</v>
      </c>
      <c r="E47" s="5" t="s">
        <v>81</v>
      </c>
      <c r="F47" s="5" t="s">
        <v>81</v>
      </c>
      <c r="G47" s="1" t="s">
        <v>18</v>
      </c>
      <c r="H47" s="1" t="s">
        <v>18</v>
      </c>
      <c r="I47" s="2" t="str">
        <f>_xlfn.TEXTJOIN(" - ",TRUE,
IF(B47="OFF","Mon",""),
IF(C47="OFF","Tue",""),
IF(D47="OFF","Wed",""),
IF(E47="OFF","Thu",""),
IF(F47="OFF","Fri",""),
IF(G47="OFF","Sat",""),
IF(H47="OFF","Sun",""))</f>
        <v>Wed - Sat - Sun</v>
      </c>
      <c r="J47" s="3">
        <v>0.20833333333333331</v>
      </c>
      <c r="K47" s="3">
        <v>0.30208333333333337</v>
      </c>
      <c r="L47" s="3">
        <v>8.3333333333333329E-2</v>
      </c>
      <c r="M47" s="3">
        <v>0.375</v>
      </c>
      <c r="N47" s="33" t="str">
        <f>VLOOKUP(Table2[[#This Row],[Name]],ROSTER!A:B,2,FALSE)</f>
        <v>Manilyn Abellar</v>
      </c>
      <c r="O47" s="5" t="s">
        <v>81</v>
      </c>
      <c r="P47">
        <f>IF(O47="OFF",0,IF(VALUE(LEFT(O47,2))&lt;12,0,1))</f>
        <v>1</v>
      </c>
      <c r="R47" s="9"/>
      <c r="S47" s="9"/>
      <c r="T47" s="9"/>
      <c r="U47" s="9"/>
    </row>
    <row r="48" spans="1:102" ht="15">
      <c r="A48" s="6" t="s">
        <v>82</v>
      </c>
      <c r="B48" s="1" t="s">
        <v>81</v>
      </c>
      <c r="C48" s="1" t="s">
        <v>81</v>
      </c>
      <c r="D48" s="1" t="s">
        <v>81</v>
      </c>
      <c r="E48" s="1" t="s">
        <v>81</v>
      </c>
      <c r="F48" s="1" t="s">
        <v>18</v>
      </c>
      <c r="G48" s="1" t="s">
        <v>18</v>
      </c>
      <c r="H48" s="1" t="s">
        <v>18</v>
      </c>
      <c r="I48" s="2" t="str">
        <f>_xlfn.TEXTJOIN(" - ",TRUE,
IF(B48="OFF","Mon",""),
IF(C48="OFF","Tue",""),
IF(D48="OFF","Wed",""),
IF(E48="OFF","Thu",""),
IF(F48="OFF","Fri",""),
IF(G48="OFF","Sat",""),
IF(H48="OFF","Sun",""))</f>
        <v>Fri - Sat - Sun</v>
      </c>
      <c r="J48" s="3">
        <v>4.1666666666666664E-2</v>
      </c>
      <c r="K48" s="3">
        <v>0.23958333333333331</v>
      </c>
      <c r="L48" s="3">
        <v>0.13541666666666666</v>
      </c>
      <c r="M48" s="3">
        <v>0.34375</v>
      </c>
      <c r="N48" s="33" t="str">
        <f>VLOOKUP(Table2[[#This Row],[Name]],ROSTER!A:B,2,FALSE)</f>
        <v>Manilyn Abellar</v>
      </c>
      <c r="O48" s="1" t="s">
        <v>81</v>
      </c>
      <c r="P48">
        <f>IF(O48="OFF",0,IF(VALUE(LEFT(O48,2))&lt;12,0,1))</f>
        <v>1</v>
      </c>
      <c r="R48" s="9"/>
      <c r="S48" s="9"/>
      <c r="T48" s="9"/>
      <c r="U48" s="9"/>
    </row>
    <row r="49" spans="1:21" ht="15">
      <c r="A49" s="6" t="s">
        <v>83</v>
      </c>
      <c r="B49" s="1" t="s">
        <v>84</v>
      </c>
      <c r="C49" s="1" t="s">
        <v>84</v>
      </c>
      <c r="D49" s="1" t="s">
        <v>84</v>
      </c>
      <c r="E49" s="1" t="s">
        <v>18</v>
      </c>
      <c r="F49" s="1" t="s">
        <v>18</v>
      </c>
      <c r="G49" s="1" t="s">
        <v>84</v>
      </c>
      <c r="H49" s="1" t="s">
        <v>18</v>
      </c>
      <c r="I49" s="2" t="str">
        <f>_xlfn.TEXTJOIN(" - ",TRUE,
IF(B49="OFF","Mon",""),
IF(C49="OFF","Tue",""),
IF(D49="OFF","Wed",""),
IF(E49="OFF","Thu",""),
IF(F49="OFF","Fri",""),
IF(G49="OFF","Sat",""),
IF(H49="OFF","Sun",""))</f>
        <v>Thu - Fri - Sun</v>
      </c>
      <c r="J49" s="3">
        <v>9.375E-2</v>
      </c>
      <c r="K49" s="3">
        <v>0.3125</v>
      </c>
      <c r="L49" s="3">
        <v>0.16666666666666666</v>
      </c>
      <c r="M49" s="3">
        <v>0.39583333333333337</v>
      </c>
      <c r="N49" s="33" t="str">
        <f>VLOOKUP(Table2[[#This Row],[Name]],ROSTER!A:B,2,FALSE)</f>
        <v>Christopher Rodas</v>
      </c>
      <c r="O49" s="1" t="s">
        <v>84</v>
      </c>
      <c r="P49">
        <f>IF(O49="OFF",0,IF(VALUE(LEFT(O49,2))&lt;12,0,1))</f>
        <v>1</v>
      </c>
      <c r="R49" s="9"/>
      <c r="S49" s="9"/>
      <c r="T49" s="9"/>
      <c r="U49" s="9"/>
    </row>
    <row r="50" spans="1:21" ht="15">
      <c r="A50" s="34" t="s">
        <v>85</v>
      </c>
      <c r="B50" s="1" t="s">
        <v>18</v>
      </c>
      <c r="C50" s="1" t="s">
        <v>18</v>
      </c>
      <c r="D50" s="1" t="s">
        <v>20</v>
      </c>
      <c r="E50" s="1" t="s">
        <v>20</v>
      </c>
      <c r="F50" s="1" t="s">
        <v>20</v>
      </c>
      <c r="G50" s="1" t="s">
        <v>20</v>
      </c>
      <c r="H50" s="1" t="s">
        <v>18</v>
      </c>
      <c r="I50" s="2" t="str">
        <f>_xlfn.TEXTJOIN(" - ",TRUE,
IF(B50="OFF","Mon",""),
IF(C50="OFF","Tue",""),
IF(D50="OFF","Wed",""),
IF(E50="OFF","Thu",""),
IF(F50="OFF","Fri",""),
IF(G50="OFF","Sat",""),
IF(H50="OFF","Sun",""))</f>
        <v>Mon - Tue - Sun</v>
      </c>
      <c r="J50" s="3">
        <v>0.38541666666666669</v>
      </c>
      <c r="K50" s="3">
        <v>0.20833333333333331</v>
      </c>
      <c r="L50" s="3">
        <v>0.27083333333333331</v>
      </c>
      <c r="M50" s="3">
        <v>0.46875</v>
      </c>
      <c r="N50" s="33" t="str">
        <f>VLOOKUP(Table2[[#This Row],[Name]],ROSTER!A:B,2,FALSE)</f>
        <v>Manilyn Abellar</v>
      </c>
      <c r="O50" s="1" t="s">
        <v>20</v>
      </c>
      <c r="P50">
        <f>IF(O50="OFF",0,IF(VALUE(LEFT(O50,2))&lt;12,0,1))</f>
        <v>0</v>
      </c>
      <c r="R50" s="9"/>
      <c r="S50" s="9"/>
      <c r="T50" s="9"/>
      <c r="U50" s="9"/>
    </row>
    <row r="51" spans="1:21" ht="15">
      <c r="A51" s="6" t="s">
        <v>86</v>
      </c>
      <c r="B51" s="1" t="s">
        <v>18</v>
      </c>
      <c r="C51" s="1" t="s">
        <v>87</v>
      </c>
      <c r="D51" s="1" t="s">
        <v>87</v>
      </c>
      <c r="E51" s="1" t="s">
        <v>87</v>
      </c>
      <c r="F51" s="1" t="s">
        <v>87</v>
      </c>
      <c r="G51" s="1" t="s">
        <v>18</v>
      </c>
      <c r="H51" s="1" t="s">
        <v>18</v>
      </c>
      <c r="I51" s="2" t="str">
        <f>_xlfn.TEXTJOIN(" - ",TRUE,
IF(B51="OFF","Mon",""),
IF(C51="OFF","Tue",""),
IF(D51="OFF","Wed",""),
IF(E51="OFF","Thu",""),
IF(F51="OFF","Fri",""),
IF(G51="OFF","Sat",""),
IF(H51="OFF","Sun",""))</f>
        <v>Mon - Sat - Sun</v>
      </c>
      <c r="J51" s="3">
        <v>0.28125</v>
      </c>
      <c r="K51" s="3">
        <v>0.5625</v>
      </c>
      <c r="L51" s="3">
        <v>0.39583333333333337</v>
      </c>
      <c r="M51" s="3">
        <v>0.625</v>
      </c>
      <c r="N51" s="33" t="str">
        <f>VLOOKUP(Table2[[#This Row],[Name]],ROSTER!A:B,2,FALSE)</f>
        <v>Manilyn Abellar</v>
      </c>
      <c r="O51" s="1" t="s">
        <v>87</v>
      </c>
      <c r="P51">
        <f>IF(O51="OFF",0,IF(VALUE(LEFT(O51,2))&lt;12,0,1))</f>
        <v>0</v>
      </c>
      <c r="R51" s="9"/>
      <c r="S51" s="9"/>
      <c r="T51" s="9"/>
      <c r="U51" s="9"/>
    </row>
    <row r="52" spans="1:21" ht="15">
      <c r="A52" s="6" t="s">
        <v>88</v>
      </c>
      <c r="B52" s="1" t="s">
        <v>18</v>
      </c>
      <c r="C52" s="1" t="s">
        <v>28</v>
      </c>
      <c r="D52" s="1" t="s">
        <v>28</v>
      </c>
      <c r="E52" s="1" t="s">
        <v>28</v>
      </c>
      <c r="F52" s="1" t="s">
        <v>28</v>
      </c>
      <c r="G52" s="1" t="s">
        <v>18</v>
      </c>
      <c r="H52" s="1" t="s">
        <v>18</v>
      </c>
      <c r="I52" s="2" t="str">
        <f>_xlfn.TEXTJOIN(" - ",TRUE,
IF(B52="OFF","Mon",""),
IF(C52="OFF","Tue",""),
IF(D52="OFF","Wed",""),
IF(E52="OFF","Thu",""),
IF(F52="OFF","Fri",""),
IF(G52="OFF","Sat",""),
IF(H52="OFF","Sun",""))</f>
        <v>Mon - Sat - Sun</v>
      </c>
      <c r="J52" s="3">
        <v>0.34375</v>
      </c>
      <c r="K52" s="3">
        <v>0.51041666666666663</v>
      </c>
      <c r="L52" s="3">
        <v>0.42708333333333337</v>
      </c>
      <c r="M52" s="3">
        <v>0.625</v>
      </c>
      <c r="N52" s="33" t="str">
        <f>VLOOKUP(Table2[[#This Row],[Name]],ROSTER!A:B,2,FALSE)</f>
        <v>Manilyn Abellar</v>
      </c>
      <c r="O52" s="1" t="s">
        <v>28</v>
      </c>
      <c r="P52">
        <f>IF(O52="OFF",0,IF(VALUE(LEFT(O52,2))&lt;12,0,1))</f>
        <v>0</v>
      </c>
      <c r="R52" s="9"/>
      <c r="S52" s="9"/>
      <c r="T52" s="9"/>
      <c r="U52" s="9"/>
    </row>
    <row r="53" spans="1:21" ht="15">
      <c r="A53" s="6" t="s">
        <v>89</v>
      </c>
      <c r="B53" s="1" t="s">
        <v>18</v>
      </c>
      <c r="C53" s="1" t="s">
        <v>18</v>
      </c>
      <c r="D53" s="1" t="s">
        <v>32</v>
      </c>
      <c r="E53" s="1" t="s">
        <v>32</v>
      </c>
      <c r="F53" s="1" t="s">
        <v>32</v>
      </c>
      <c r="G53" s="1" t="s">
        <v>32</v>
      </c>
      <c r="H53" s="1" t="s">
        <v>18</v>
      </c>
      <c r="I53" s="2" t="str">
        <f>_xlfn.TEXTJOIN(" - ",TRUE,
IF(B53="OFF","Mon",""),
IF(C53="OFF","Tue",""),
IF(D53="OFF","Wed",""),
IF(E53="OFF","Thu",""),
IF(F53="OFF","Fri",""),
IF(G53="OFF","Sat",""),
IF(H53="OFF","Sun",""))</f>
        <v>Mon - Tue - Sun</v>
      </c>
      <c r="J53" s="3">
        <v>0.38541666666666669</v>
      </c>
      <c r="K53" s="3">
        <v>0.57291666666666663</v>
      </c>
      <c r="L53" s="3">
        <v>0.45833333333333337</v>
      </c>
      <c r="M53" s="3">
        <v>0.66666666666666663</v>
      </c>
      <c r="N53" s="33" t="str">
        <f>VLOOKUP(Table2[[#This Row],[Name]],ROSTER!A:B,2,FALSE)</f>
        <v>Christopher Rodas</v>
      </c>
      <c r="O53" s="1" t="s">
        <v>32</v>
      </c>
      <c r="P53">
        <f>IF(O53="OFF",0,IF(VALUE(LEFT(O53,2))&lt;12,0,1))</f>
        <v>0</v>
      </c>
      <c r="R53" s="9"/>
      <c r="S53" s="9"/>
      <c r="T53" s="9"/>
      <c r="U53" s="9"/>
    </row>
    <row r="54" spans="1:21" ht="15">
      <c r="A54" s="6" t="s">
        <v>90</v>
      </c>
      <c r="B54" s="1" t="s">
        <v>18</v>
      </c>
      <c r="C54" s="1" t="s">
        <v>35</v>
      </c>
      <c r="D54" s="1" t="s">
        <v>35</v>
      </c>
      <c r="E54" s="1" t="s">
        <v>35</v>
      </c>
      <c r="F54" s="1" t="s">
        <v>35</v>
      </c>
      <c r="G54" s="1" t="s">
        <v>18</v>
      </c>
      <c r="H54" s="1" t="s">
        <v>18</v>
      </c>
      <c r="I54" s="2" t="str">
        <f>_xlfn.TEXTJOIN(" - ",TRUE,
IF(B54="OFF","Mon",""),
IF(C54="OFF","Tue",""),
IF(D54="OFF","Wed",""),
IF(E54="OFF","Thu",""),
IF(F54="OFF","Fri",""),
IF(G54="OFF","Sat",""),
IF(H54="OFF","Sun",""))</f>
        <v>Mon - Sat - Sun</v>
      </c>
      <c r="J54" s="3">
        <v>0.41666666666666669</v>
      </c>
      <c r="K54" s="3">
        <v>0.625</v>
      </c>
      <c r="L54" s="3">
        <v>0.5</v>
      </c>
      <c r="M54" s="3">
        <v>0.70833333333333326</v>
      </c>
      <c r="N54" s="33" t="str">
        <f>VLOOKUP(Table2[[#This Row],[Name]],ROSTER!A:B,2,FALSE)</f>
        <v>Christopher Rodas</v>
      </c>
      <c r="O54" s="1" t="s">
        <v>35</v>
      </c>
      <c r="P54">
        <f>IF(O54="OFF",0,IF(VALUE(LEFT(O54,2))&lt;12,0,1))</f>
        <v>0</v>
      </c>
      <c r="R54" s="9"/>
      <c r="S54" s="9"/>
      <c r="T54" s="9"/>
      <c r="U54" s="9"/>
    </row>
    <row r="55" spans="1:21" ht="15">
      <c r="A55" s="35" t="s">
        <v>91</v>
      </c>
      <c r="B55" s="1" t="s">
        <v>18</v>
      </c>
      <c r="C55" s="1" t="s">
        <v>35</v>
      </c>
      <c r="D55" s="1" t="s">
        <v>35</v>
      </c>
      <c r="E55" s="1" t="s">
        <v>35</v>
      </c>
      <c r="F55" s="1" t="s">
        <v>35</v>
      </c>
      <c r="G55" s="1" t="s">
        <v>18</v>
      </c>
      <c r="H55" s="1" t="s">
        <v>18</v>
      </c>
      <c r="I55" s="2" t="str">
        <f>_xlfn.TEXTJOIN(" - ",TRUE,
IF(B55="OFF","Mon",""),
IF(C55="OFF","Tue",""),
IF(D55="OFF","Wed",""),
IF(E55="OFF","Thu",""),
IF(F55="OFF","Fri",""),
IF(G55="OFF","Sat",""),
IF(H55="OFF","Sun",""))</f>
        <v>Mon - Sat - Sun</v>
      </c>
      <c r="J55" s="3">
        <v>0.41666666666666669</v>
      </c>
      <c r="K55" s="3">
        <v>0.63541666666666663</v>
      </c>
      <c r="L55" s="3">
        <v>0.5</v>
      </c>
      <c r="M55" s="3">
        <v>0.71875</v>
      </c>
      <c r="N55" s="33" t="str">
        <f>VLOOKUP(Table2[[#This Row],[Name]],ROSTER!A:B,2,FALSE)</f>
        <v>Christopher Rodas</v>
      </c>
      <c r="O55" s="1" t="s">
        <v>35</v>
      </c>
      <c r="P55">
        <f>IF(O55="OFF",0,IF(VALUE(LEFT(O55,2))&lt;12,0,1))</f>
        <v>0</v>
      </c>
      <c r="R55" s="9"/>
      <c r="S55" s="9"/>
      <c r="T55" s="9"/>
      <c r="U55" s="9"/>
    </row>
    <row r="56" spans="1:21" ht="15">
      <c r="A56" s="36" t="s">
        <v>92</v>
      </c>
      <c r="B56" s="1" t="s">
        <v>18</v>
      </c>
      <c r="C56" s="1" t="s">
        <v>18</v>
      </c>
      <c r="D56" s="1" t="s">
        <v>51</v>
      </c>
      <c r="E56" s="1" t="s">
        <v>51</v>
      </c>
      <c r="F56" s="1" t="s">
        <v>51</v>
      </c>
      <c r="G56" s="1" t="s">
        <v>51</v>
      </c>
      <c r="H56" s="1" t="s">
        <v>18</v>
      </c>
      <c r="I56" s="2" t="str">
        <f>_xlfn.TEXTJOIN(" - ",TRUE,
IF(B56="OFF","Mon",""),
IF(C56="OFF","Tue",""),
IF(D56="OFF","Wed",""),
IF(E56="OFF","Thu",""),
IF(F56="OFF","Fri",""),
IF(G56="OFF","Sat",""),
IF(H56="OFF","Sun",""))</f>
        <v>Mon - Tue - Sun</v>
      </c>
      <c r="J56" s="3">
        <v>0.5</v>
      </c>
      <c r="K56" s="3">
        <v>0.59375</v>
      </c>
      <c r="L56" s="3">
        <v>0.72916666666666663</v>
      </c>
      <c r="M56" s="3">
        <v>0.82291666666666663</v>
      </c>
      <c r="N56" s="33" t="str">
        <f>VLOOKUP(Table2[[#This Row],[Name]],ROSTER!A:B,2,FALSE)</f>
        <v>Anmecha Valencia</v>
      </c>
      <c r="O56" s="1" t="s">
        <v>51</v>
      </c>
      <c r="P56">
        <f>IF(O56="OFF",0,IF(VALUE(LEFT(O56,2))&lt;12,0,1))</f>
        <v>0</v>
      </c>
      <c r="R56" s="9"/>
      <c r="S56" s="9"/>
      <c r="T56" s="9"/>
      <c r="U56" s="9"/>
    </row>
    <row r="57" spans="1:21" ht="15">
      <c r="A57" s="37" t="s">
        <v>93</v>
      </c>
      <c r="B57" s="1" t="s">
        <v>18</v>
      </c>
      <c r="C57" s="1" t="s">
        <v>51</v>
      </c>
      <c r="D57" s="1" t="s">
        <v>51</v>
      </c>
      <c r="E57" s="1" t="s">
        <v>51</v>
      </c>
      <c r="F57" s="1" t="s">
        <v>51</v>
      </c>
      <c r="G57" s="1" t="s">
        <v>18</v>
      </c>
      <c r="H57" s="1" t="s">
        <v>18</v>
      </c>
      <c r="I57" s="2" t="str">
        <f>_xlfn.TEXTJOIN(" - ",TRUE,
IF(B57="OFF","Mon",""),
IF(C57="OFF","Tue",""),
IF(D57="OFF","Wed",""),
IF(E57="OFF","Thu",""),
IF(F57="OFF","Fri",""),
IF(G57="OFF","Sat",""),
IF(H57="OFF","Sun",""))</f>
        <v>Mon - Sat - Sun</v>
      </c>
      <c r="J57" s="3">
        <v>0.5</v>
      </c>
      <c r="K57" s="3">
        <v>0.58333333333333326</v>
      </c>
      <c r="L57" s="3">
        <v>0.6875</v>
      </c>
      <c r="M57" s="3">
        <v>0.80208333333333326</v>
      </c>
      <c r="N57" s="33" t="str">
        <f>VLOOKUP(Table2[[#This Row],[Name]],ROSTER!A:B,2,FALSE)</f>
        <v>Michael Dominguez</v>
      </c>
      <c r="O57" s="1" t="s">
        <v>51</v>
      </c>
      <c r="P57">
        <f>IF(O57="OFF",0,IF(VALUE(LEFT(O57,2))&lt;12,0,1))</f>
        <v>0</v>
      </c>
      <c r="R57" s="9"/>
      <c r="S57" s="9"/>
      <c r="T57" s="9"/>
      <c r="U57" s="9"/>
    </row>
    <row r="58" spans="1:21" ht="15">
      <c r="A58" s="6" t="s">
        <v>94</v>
      </c>
      <c r="B58" s="1" t="s">
        <v>18</v>
      </c>
      <c r="C58" s="1" t="s">
        <v>51</v>
      </c>
      <c r="D58" s="1" t="s">
        <v>51</v>
      </c>
      <c r="E58" s="1" t="s">
        <v>51</v>
      </c>
      <c r="F58" s="1" t="s">
        <v>51</v>
      </c>
      <c r="G58" s="1" t="s">
        <v>18</v>
      </c>
      <c r="H58" s="1" t="s">
        <v>18</v>
      </c>
      <c r="I58" s="2" t="str">
        <f>_xlfn.TEXTJOIN(" - ",TRUE,
IF(B58="OFF","Mon",""),
IF(C58="OFF","Tue",""),
IF(D58="OFF","Wed",""),
IF(E58="OFF","Thu",""),
IF(F58="OFF","Fri",""),
IF(G58="OFF","Sat",""),
IF(H58="OFF","Sun",""))</f>
        <v>Mon - Sat - Sun</v>
      </c>
      <c r="J58" s="3">
        <v>0.51041666666666663</v>
      </c>
      <c r="K58" s="3">
        <v>0.60416666666666663</v>
      </c>
      <c r="L58" s="3">
        <v>0.66666666666666663</v>
      </c>
      <c r="M58" s="3">
        <v>0.82291666666666663</v>
      </c>
      <c r="N58" s="33" t="str">
        <f>VLOOKUP(Table2[[#This Row],[Name]],ROSTER!A:B,2,FALSE)</f>
        <v>Michael Dominguez</v>
      </c>
      <c r="O58" s="1" t="s">
        <v>51</v>
      </c>
      <c r="P58">
        <f>IF(O58="OFF",0,IF(VALUE(LEFT(O58,2))&lt;12,0,1))</f>
        <v>0</v>
      </c>
      <c r="R58" s="9"/>
      <c r="S58" s="9"/>
      <c r="T58" s="9"/>
      <c r="U58" s="9"/>
    </row>
    <row r="59" spans="1:21" ht="15">
      <c r="A59" s="35" t="s">
        <v>95</v>
      </c>
      <c r="B59" s="1" t="s">
        <v>18</v>
      </c>
      <c r="C59" s="1" t="s">
        <v>18</v>
      </c>
      <c r="D59" s="1" t="s">
        <v>51</v>
      </c>
      <c r="E59" s="1" t="s">
        <v>51</v>
      </c>
      <c r="F59" s="1" t="s">
        <v>51</v>
      </c>
      <c r="G59" s="1" t="s">
        <v>51</v>
      </c>
      <c r="H59" s="1" t="s">
        <v>18</v>
      </c>
      <c r="I59" s="2" t="str">
        <f>_xlfn.TEXTJOIN(" - ",TRUE,
IF(B59="OFF","Mon",""),
IF(C59="OFF","Tue",""),
IF(D59="OFF","Wed",""),
IF(E59="OFF","Thu",""),
IF(F59="OFF","Fri",""),
IF(G59="OFF","Sat",""),
IF(H59="OFF","Sun",""))</f>
        <v>Mon - Tue - Sun</v>
      </c>
      <c r="J59" s="3">
        <v>0.51041666666666663</v>
      </c>
      <c r="K59" s="3">
        <v>0.77083333333333326</v>
      </c>
      <c r="L59" s="3">
        <v>0.60416666666666663</v>
      </c>
      <c r="M59" s="3">
        <v>0.83333333333333326</v>
      </c>
      <c r="N59" s="33" t="str">
        <f>VLOOKUP(Table2[[#This Row],[Name]],ROSTER!A:B,2,FALSE)</f>
        <v>Manilyn Abellar</v>
      </c>
      <c r="O59" s="1" t="s">
        <v>51</v>
      </c>
      <c r="P59">
        <f>IF(O59="OFF",0,IF(VALUE(LEFT(O59,2))&lt;12,0,1))</f>
        <v>0</v>
      </c>
      <c r="R59" s="9"/>
      <c r="S59" s="9"/>
      <c r="T59" s="9"/>
      <c r="U59" s="9"/>
    </row>
    <row r="60" spans="1:21" ht="15">
      <c r="A60" s="36" t="s">
        <v>96</v>
      </c>
      <c r="B60" s="1" t="s">
        <v>18</v>
      </c>
      <c r="C60" s="1" t="s">
        <v>18</v>
      </c>
      <c r="D60" s="1" t="s">
        <v>18</v>
      </c>
      <c r="E60" s="1" t="s">
        <v>64</v>
      </c>
      <c r="F60" s="1" t="s">
        <v>64</v>
      </c>
      <c r="G60" s="1" t="s">
        <v>64</v>
      </c>
      <c r="H60" s="1" t="s">
        <v>64</v>
      </c>
      <c r="I60" s="2" t="str">
        <f>_xlfn.TEXTJOIN(" - ",TRUE,
IF(B60="OFF","Mon",""),
IF(C60="OFF","Tue",""),
IF(D60="OFF","Wed",""),
IF(E60="OFF","Thu",""),
IF(F60="OFF","Fri",""),
IF(G60="OFF","Sat",""),
IF(H60="OFF","Sun",""))</f>
        <v>Mon - Tue - Wed</v>
      </c>
      <c r="J60" s="3">
        <v>0.54166666666666663</v>
      </c>
      <c r="K60" s="3">
        <v>0.77083333333333326</v>
      </c>
      <c r="L60" s="3">
        <v>0.64583333333333326</v>
      </c>
      <c r="M60" s="3">
        <v>0.86458333333333326</v>
      </c>
      <c r="N60" s="33" t="str">
        <f>VLOOKUP(Table2[[#This Row],[Name]],ROSTER!A:B,2,FALSE)</f>
        <v>Christopher Rodas</v>
      </c>
      <c r="O60" s="1" t="s">
        <v>64</v>
      </c>
      <c r="P60">
        <f>IF(O60="OFF",0,IF(VALUE(LEFT(O60,2))&lt;12,0,1))</f>
        <v>0</v>
      </c>
      <c r="R60" s="9"/>
      <c r="S60" s="9"/>
      <c r="T60" s="9"/>
      <c r="U60" s="9"/>
    </row>
    <row r="61" spans="1:21" ht="15">
      <c r="A61" s="55" t="s">
        <v>97</v>
      </c>
      <c r="B61" s="1" t="s">
        <v>18</v>
      </c>
      <c r="C61" s="1" t="s">
        <v>18</v>
      </c>
      <c r="D61" s="1" t="s">
        <v>98</v>
      </c>
      <c r="E61" s="1" t="s">
        <v>98</v>
      </c>
      <c r="F61" s="1" t="s">
        <v>98</v>
      </c>
      <c r="G61" s="1" t="s">
        <v>98</v>
      </c>
      <c r="H61" s="1" t="s">
        <v>18</v>
      </c>
      <c r="I61" s="2" t="str">
        <f>_xlfn.TEXTJOIN(" - ",TRUE,
IF(B61="OFF","Mon",""),
IF(C61="OFF","Tue",""),
IF(D61="OFF","Wed",""),
IF(E61="OFF","Thu",""),
IF(F61="OFF","Fri",""),
IF(G61="OFF","Sat",""),
IF(H61="OFF","Sun",""))</f>
        <v>Mon - Tue - Sun</v>
      </c>
      <c r="J61" s="3">
        <v>0.625</v>
      </c>
      <c r="K61" s="3">
        <v>0.85416666666666663</v>
      </c>
      <c r="L61" s="3">
        <v>0.71875</v>
      </c>
      <c r="M61" s="3">
        <v>0.95833333333333326</v>
      </c>
      <c r="N61" s="33" t="str">
        <f>VLOOKUP(Table2[[#This Row],[Name]],ROSTER!A:B,2,FALSE)</f>
        <v>Manilyn Abellar</v>
      </c>
      <c r="O61" s="1" t="s">
        <v>98</v>
      </c>
      <c r="P61">
        <f>IF(O61="OFF",0,IF(VALUE(LEFT(O61,2))&lt;12,0,1))</f>
        <v>1</v>
      </c>
      <c r="R61" s="9"/>
      <c r="S61" s="9"/>
      <c r="T61" s="9"/>
      <c r="U61" s="9"/>
    </row>
    <row r="62" spans="1:21" ht="15">
      <c r="A62" s="36" t="s">
        <v>99</v>
      </c>
      <c r="B62" s="1" t="s">
        <v>18</v>
      </c>
      <c r="C62" s="1" t="s">
        <v>18</v>
      </c>
      <c r="D62" s="1" t="s">
        <v>18</v>
      </c>
      <c r="E62" s="5" t="s">
        <v>71</v>
      </c>
      <c r="F62" s="5" t="s">
        <v>71</v>
      </c>
      <c r="G62" s="5" t="s">
        <v>71</v>
      </c>
      <c r="H62" s="5" t="s">
        <v>71</v>
      </c>
      <c r="I62" s="2" t="str">
        <f>_xlfn.TEXTJOIN(" - ",TRUE,
IF(B62="OFF","Mon",""),
IF(C62="OFF","Tue",""),
IF(D62="OFF","Wed",""),
IF(E62="OFF","Thu",""),
IF(F62="OFF","Fri",""),
IF(G62="OFF","Sat",""),
IF(H62="OFF","Sun",""))</f>
        <v>Mon - Tue - Wed</v>
      </c>
      <c r="J62" s="3">
        <v>0.66666666666666663</v>
      </c>
      <c r="K62" s="3">
        <v>0.76041666666666663</v>
      </c>
      <c r="L62" s="3">
        <v>0.85416666666666663</v>
      </c>
      <c r="M62" s="3">
        <v>0.97916666666666663</v>
      </c>
      <c r="N62" s="33" t="str">
        <f>VLOOKUP(Table2[[#This Row],[Name]],ROSTER!A:B,2,FALSE)</f>
        <v>Christopher Rodas</v>
      </c>
      <c r="O62" s="5" t="s">
        <v>71</v>
      </c>
      <c r="P62">
        <f>IF(O62="OFF",0,IF(VALUE(LEFT(O62,2))&lt;12,0,1))</f>
        <v>1</v>
      </c>
      <c r="R62" s="9"/>
      <c r="S62" s="9"/>
      <c r="T62" s="9"/>
      <c r="U62" s="9"/>
    </row>
    <row r="63" spans="1:21" ht="15">
      <c r="A63" s="36" t="s">
        <v>100</v>
      </c>
      <c r="B63" s="1" t="s">
        <v>18</v>
      </c>
      <c r="C63" s="1" t="s">
        <v>74</v>
      </c>
      <c r="D63" s="1" t="s">
        <v>74</v>
      </c>
      <c r="E63" s="1" t="s">
        <v>74</v>
      </c>
      <c r="F63" s="1" t="s">
        <v>74</v>
      </c>
      <c r="G63" s="1" t="s">
        <v>18</v>
      </c>
      <c r="H63" s="1" t="s">
        <v>18</v>
      </c>
      <c r="I63" s="2" t="str">
        <f>_xlfn.TEXTJOIN(" - ",TRUE,
IF(B63="OFF","Mon",""),
IF(C63="OFF","Tue",""),
IF(D63="OFF","Wed",""),
IF(E63="OFF","Thu",""),
IF(F63="OFF","Fri",""),
IF(G63="OFF","Sat",""),
IF(H63="OFF","Sun",""))</f>
        <v>Mon - Sat - Sun</v>
      </c>
      <c r="J63" s="3">
        <v>0.85416666666666663</v>
      </c>
      <c r="K63" s="3">
        <v>4.1666666666666664E-2</v>
      </c>
      <c r="L63" s="3">
        <v>0.94791666666666663</v>
      </c>
      <c r="M63" s="3">
        <v>0.14583333333333334</v>
      </c>
      <c r="N63" s="33" t="str">
        <f>VLOOKUP(Table2[[#This Row],[Name]],ROSTER!A:B,2,FALSE)</f>
        <v>Manilyn Abellar</v>
      </c>
      <c r="O63" s="1" t="s">
        <v>74</v>
      </c>
      <c r="P63">
        <f>IF(O63="OFF",0,IF(VALUE(LEFT(O63,2))&lt;12,0,1))</f>
        <v>1</v>
      </c>
      <c r="R63" s="9"/>
      <c r="S63" s="9"/>
      <c r="T63" s="9"/>
      <c r="U63" s="9"/>
    </row>
    <row r="64" spans="1:21" ht="15">
      <c r="A64" s="36" t="s">
        <v>101</v>
      </c>
      <c r="B64" s="1" t="s">
        <v>18</v>
      </c>
      <c r="C64" s="1" t="s">
        <v>18</v>
      </c>
      <c r="D64" s="1" t="s">
        <v>102</v>
      </c>
      <c r="E64" s="1" t="s">
        <v>102</v>
      </c>
      <c r="F64" s="1" t="s">
        <v>102</v>
      </c>
      <c r="G64" s="1" t="s">
        <v>102</v>
      </c>
      <c r="H64" s="1" t="s">
        <v>18</v>
      </c>
      <c r="I64" s="2" t="str">
        <f>_xlfn.TEXTJOIN(" - ",TRUE,
IF(B64="OFF","Mon",""),
IF(C64="OFF","Tue",""),
IF(D64="OFF","Wed",""),
IF(E64="OFF","Thu",""),
IF(F64="OFF","Fri",""),
IF(G64="OFF","Sat",""),
IF(H64="OFF","Sun",""))</f>
        <v>Mon - Tue - Sun</v>
      </c>
      <c r="J64" s="3">
        <v>0.89583333333333326</v>
      </c>
      <c r="K64" s="3">
        <v>0.11458333333333334</v>
      </c>
      <c r="L64" s="3">
        <v>0.98958333333333326</v>
      </c>
      <c r="M64" s="3">
        <v>0.21875</v>
      </c>
      <c r="N64" s="33" t="str">
        <f>VLOOKUP(Table2[[#This Row],[Name]],ROSTER!A:B,2,FALSE)</f>
        <v>Christopher Rodas</v>
      </c>
      <c r="O64" s="1" t="s">
        <v>102</v>
      </c>
      <c r="P64">
        <f>IF(O64="OFF",0,IF(VALUE(LEFT(O64,2))&lt;12,0,1))</f>
        <v>1</v>
      </c>
      <c r="R64" s="9"/>
      <c r="S64" s="9"/>
      <c r="T64" s="9"/>
      <c r="U64" s="9"/>
    </row>
    <row r="65" spans="1:21" ht="15">
      <c r="A65" s="63" t="s">
        <v>103</v>
      </c>
      <c r="B65" s="41" t="s">
        <v>18</v>
      </c>
      <c r="C65" s="41" t="s">
        <v>18</v>
      </c>
      <c r="D65" s="41" t="s">
        <v>18</v>
      </c>
      <c r="E65" s="41" t="s">
        <v>104</v>
      </c>
      <c r="F65" s="41" t="s">
        <v>104</v>
      </c>
      <c r="G65" s="41" t="s">
        <v>104</v>
      </c>
      <c r="H65" s="41" t="s">
        <v>104</v>
      </c>
      <c r="I65" s="58" t="str">
        <f>_xlfn.TEXTJOIN(" - ",TRUE,
IF(B65="OFF","Mon",""),
IF(C65="OFF","Tue",""),
IF(D65="OFF","Wed",""),
IF(E65="OFF","Thu",""),
IF(F65="OFF","Fri",""),
IF(G65="OFF","Sat",""),
IF(H65="OFF","Sun",""))</f>
        <v>Mon - Tue - Wed</v>
      </c>
      <c r="J65" s="42">
        <v>0.91666666666666663</v>
      </c>
      <c r="K65" s="42">
        <v>1</v>
      </c>
      <c r="L65" s="42">
        <v>0.10416666666666666</v>
      </c>
      <c r="M65" s="42">
        <v>0.22916666666666666</v>
      </c>
      <c r="N65" s="59" t="str">
        <f>VLOOKUP(Table2[[#This Row],[Name]],ROSTER!A:B,2,FALSE)</f>
        <v>Manilyn Abellar</v>
      </c>
      <c r="O65" s="41" t="s">
        <v>104</v>
      </c>
      <c r="P65">
        <f>IF(O65="OFF",0,IF(VALUE(LEFT(O65,2))&lt;12,0,1))</f>
        <v>1</v>
      </c>
      <c r="R65" s="9"/>
      <c r="S65" s="9"/>
      <c r="T65" s="9"/>
      <c r="U65" s="9"/>
    </row>
    <row r="66" spans="1:21" ht="15">
      <c r="A66" s="36" t="s">
        <v>105</v>
      </c>
      <c r="B66" s="28" t="s">
        <v>18</v>
      </c>
      <c r="C66" s="28" t="s">
        <v>18</v>
      </c>
      <c r="D66" s="28" t="s">
        <v>18</v>
      </c>
      <c r="E66" s="56" t="s">
        <v>106</v>
      </c>
      <c r="F66" s="56" t="s">
        <v>106</v>
      </c>
      <c r="G66" s="56" t="s">
        <v>106</v>
      </c>
      <c r="H66" s="56" t="s">
        <v>106</v>
      </c>
      <c r="I66" s="28" t="str">
        <f>_xlfn.TEXTJOIN(" - ",TRUE,
IF(B66="OFF","Mon",""),
IF(C66="OFF","Tue",""),
IF(D66="OFF","Wed",""),
IF(E66="OFF","Thu",""),
IF(F66="OFF","Fri",""),
IF(G66="OFF","Sat",""),
IF(H66="OFF","Sun",""))</f>
        <v>Mon - Tue - Wed</v>
      </c>
      <c r="J66" s="62">
        <v>0.96875</v>
      </c>
      <c r="K66" s="62">
        <v>5.2083333333333329E-2</v>
      </c>
      <c r="L66" s="62">
        <v>0.22916666666666666</v>
      </c>
      <c r="M66" s="62">
        <v>0.14583333333333334</v>
      </c>
      <c r="N66" s="57" t="str">
        <f>VLOOKUP(Table2[[#This Row],[Name]],ROSTER!A:B,2,FALSE)</f>
        <v>Michael Dominguez</v>
      </c>
      <c r="O66" s="56" t="s">
        <v>106</v>
      </c>
      <c r="P66">
        <f>IF(O66="OFF",0,IF(VALUE(LEFT(O66,2))&lt;12,0,1))</f>
        <v>1</v>
      </c>
      <c r="R66" s="9"/>
      <c r="S66" s="9"/>
      <c r="T66" s="9"/>
      <c r="U66" s="9"/>
    </row>
    <row r="67" spans="1:21" ht="15">
      <c r="A67" s="35" t="s">
        <v>107</v>
      </c>
      <c r="B67" s="1" t="s">
        <v>18</v>
      </c>
      <c r="C67" s="1" t="s">
        <v>18</v>
      </c>
      <c r="D67" s="1" t="s">
        <v>18</v>
      </c>
      <c r="E67" s="1" t="s">
        <v>106</v>
      </c>
      <c r="F67" s="1" t="s">
        <v>106</v>
      </c>
      <c r="G67" s="1" t="s">
        <v>106</v>
      </c>
      <c r="H67" s="1" t="s">
        <v>106</v>
      </c>
      <c r="I67" s="28" t="str">
        <f>_xlfn.TEXTJOIN(" - ",TRUE,
IF(B67="OFF","Mon",""),
IF(C67="OFF","Tue",""),
IF(D67="OFF","Wed",""),
IF(E67="OFF","Thu",""),
IF(F67="OFF","Fri",""),
IF(G67="OFF","Sat",""),
IF(H67="OFF","Sun",""))</f>
        <v>Mon - Tue - Wed</v>
      </c>
      <c r="J67" s="40">
        <v>0.95833333333333326</v>
      </c>
      <c r="K67" s="40">
        <v>6.25E-2</v>
      </c>
      <c r="L67" s="40">
        <v>0.14583333333333334</v>
      </c>
      <c r="M67" s="40">
        <v>0.29166666666666669</v>
      </c>
      <c r="N67" s="57" t="str">
        <f>VLOOKUP(Table2[[#This Row],[Name]],ROSTER!A:B,2,FALSE)</f>
        <v>Christopher Rodas</v>
      </c>
      <c r="O67" s="1" t="s">
        <v>106</v>
      </c>
      <c r="P67">
        <f>IF(O67="OFF",0,IF(VALUE(LEFT(O67,2))&lt;12,0,1))</f>
        <v>1</v>
      </c>
    </row>
    <row r="71" spans="1:21" ht="15"/>
    <row r="72" spans="1:21" ht="15"/>
  </sheetData>
  <phoneticPr fontId="7" type="noConversion"/>
  <conditionalFormatting sqref="A15:A59 A2:A13 O2:O61 B2:I66 A67:I67">
    <cfRule type="cellIs" dxfId="50" priority="56" operator="equal">
      <formula>"OFF"</formula>
    </cfRule>
  </conditionalFormatting>
  <conditionalFormatting sqref="A66:I66 I67">
    <cfRule type="cellIs" dxfId="49" priority="6" operator="equal">
      <formula>"OFF"</formula>
    </cfRule>
  </conditionalFormatting>
  <conditionalFormatting sqref="I55:I56">
    <cfRule type="cellIs" dxfId="48" priority="44" operator="equal">
      <formula>"OFF"</formula>
    </cfRule>
  </conditionalFormatting>
  <conditionalFormatting sqref="O63 O65:O66">
    <cfRule type="cellIs" dxfId="47" priority="5" operator="equal">
      <formula>"OFF"</formula>
    </cfRule>
  </conditionalFormatting>
  <conditionalFormatting sqref="O62">
    <cfRule type="cellIs" dxfId="46" priority="4" operator="equal">
      <formula>"OFF"</formula>
    </cfRule>
  </conditionalFormatting>
  <conditionalFormatting sqref="O64">
    <cfRule type="cellIs" dxfId="45" priority="2" operator="equal">
      <formula>"OFF"</formula>
    </cfRule>
  </conditionalFormatting>
  <conditionalFormatting sqref="O67">
    <cfRule type="cellIs" dxfId="44" priority="1" operator="equal">
      <formula>"OFF"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C52C-27C0-45B0-B89A-D9ECF8590EEA}">
  <dimension ref="A1:P67"/>
  <sheetViews>
    <sheetView zoomScale="85" zoomScaleNormal="85" workbookViewId="0">
      <selection activeCell="C15" sqref="C15"/>
    </sheetView>
  </sheetViews>
  <sheetFormatPr defaultColWidth="9.140625" defaultRowHeight="14.45"/>
  <cols>
    <col min="1" max="1" width="26.85546875" bestFit="1" customWidth="1"/>
    <col min="2" max="3" width="13" customWidth="1"/>
    <col min="4" max="4" width="13.85546875" customWidth="1"/>
    <col min="5" max="8" width="13" customWidth="1"/>
    <col min="9" max="9" width="20" customWidth="1"/>
    <col min="10" max="11" width="10" customWidth="1"/>
    <col min="12" max="12" width="9.140625" customWidth="1"/>
    <col min="13" max="13" width="10" customWidth="1"/>
    <col min="14" max="14" width="18.5703125" bestFit="1" customWidth="1"/>
    <col min="15" max="15" width="13.28515625" bestFit="1" customWidth="1"/>
    <col min="16" max="16" width="10.140625" bestFit="1" customWidth="1"/>
  </cols>
  <sheetData>
    <row r="1" spans="1:16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108</v>
      </c>
      <c r="P1" s="43" t="s">
        <v>109</v>
      </c>
    </row>
    <row r="2" spans="1:16">
      <c r="A2" s="44" t="str">
        <f>Table2[[#This Row],[Name]]</f>
        <v>Rey Fernandez</v>
      </c>
      <c r="B2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12:00 - 23:00</v>
      </c>
      <c r="C2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2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2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12:00 - 23:00</v>
      </c>
      <c r="F2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12:00 - 23:00</v>
      </c>
      <c r="G2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2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12:00 - 23:00</v>
      </c>
      <c r="I2" s="44" t="str">
        <f>_xlfn.TEXTJOIN(" - ",TRUE,
IF(B2="OFF","Mon",""),
IF(C2="OFF","Tue",""),
IF(D2="OFF","Wed",""),
IF(E2="OFF","Thu",""),
IF(F2="OFF","Fri",""),
IF(G2="OFF","Sat",""),
IF(H2="OFF","Sun",""))</f>
        <v>Tue - Wed - Sat</v>
      </c>
      <c r="J2" s="45">
        <f>MOD(Table2[[#This Row],[Break 1]]+TIME(12,0,0),1)</f>
        <v>0.59375</v>
      </c>
      <c r="K2" s="45">
        <f>MOD(Table2[[#This Row],[Break 2]]+TIME(12,0,0),1)</f>
        <v>0.8125</v>
      </c>
      <c r="L2" s="45">
        <f>MOD(Table2[[#This Row],[Lunch]]+TIME(12,0,0),1)</f>
        <v>0.6875</v>
      </c>
      <c r="M2" s="45">
        <f>MOD(Table2[[#This Row],[Break 3]]+TIME(12,0,0),1)</f>
        <v>0.90625</v>
      </c>
      <c r="N2" s="44" t="str">
        <f>Table2[[#This Row],[Supervisor]]</f>
        <v>Anmecha Valencia</v>
      </c>
      <c r="O2" s="44" t="str">
        <f>TEXT(TIMEVALUE(LEFT(Table2[[#This Row],[EST SHIFT]],5))+12/24,"hh:mm") &amp; " - " &amp; TEXT(TIMEVALUE(RIGHT(Table2[[#This Row],[EST SHIFT]],5))+12/24,"hh:mm")</f>
        <v>12:00 - 23:00</v>
      </c>
      <c r="P2" s="44">
        <f>IF(TIMEVALUE(LEFT(O2,FIND("-",O2)-1))&gt;=12/24,0,1)</f>
        <v>0</v>
      </c>
    </row>
    <row r="3" spans="1:16">
      <c r="A3" s="44" t="str">
        <f>Table2[[#This Row],[Name]]</f>
        <v>Rayniel Ingal</v>
      </c>
      <c r="B3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13:00 - 00:00</v>
      </c>
      <c r="C3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13:00 - 00:00</v>
      </c>
      <c r="D3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3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3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3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13:00 - 00:00</v>
      </c>
      <c r="H3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13:00 - 00:00</v>
      </c>
      <c r="I3" s="44" t="str">
        <f t="shared" ref="I3:I63" si="0">_xlfn.TEXTJOIN(" - ",TRUE,
IF(B3="OFF","Mon",""),
IF(C3="OFF","Tue",""),
IF(D3="OFF","Wed",""),
IF(E3="OFF","Thu",""),
IF(F3="OFF","Fri",""),
IF(G3="OFF","Sat",""),
IF(H3="OFF","Sun",""))</f>
        <v>Wed - Thu - Fri</v>
      </c>
      <c r="J3" s="45">
        <f>MOD(Table2[[#This Row],[Break 1]]+TIME(12,0,0),1)</f>
        <v>0.625</v>
      </c>
      <c r="K3" s="45">
        <f>MOD(Table2[[#This Row],[Break 2]]+TIME(12,0,0),1)</f>
        <v>0.70833333333333326</v>
      </c>
      <c r="L3" s="45">
        <f>MOD(Table2[[#This Row],[Lunch]]+TIME(12,0,0),1)</f>
        <v>0.83333333333333337</v>
      </c>
      <c r="M3" s="45">
        <f>MOD(Table2[[#This Row],[Break 3]]+TIME(12,0,0),1)</f>
        <v>0.95833333333333337</v>
      </c>
      <c r="N3" s="44" t="str">
        <f>Table2[[#This Row],[Supervisor]]</f>
        <v>Chris Borromeo</v>
      </c>
      <c r="O3" s="44" t="str">
        <f>TEXT(TIMEVALUE(LEFT(Table2[[#This Row],[EST SHIFT]],5))+12/24,"hh:mm") &amp; " - " &amp; TEXT(TIMEVALUE(RIGHT(Table2[[#This Row],[EST SHIFT]],5))+12/24,"hh:mm")</f>
        <v>13:00 - 00:00</v>
      </c>
      <c r="P3" s="44">
        <f t="shared" ref="P3:P67" si="1">IF(TIMEVALUE(LEFT(O3,FIND("-",O3)-1))&gt;=12/24,0,1)</f>
        <v>0</v>
      </c>
    </row>
    <row r="4" spans="1:16">
      <c r="A4" s="44" t="str">
        <f>Table2[[#This Row],[Name]]</f>
        <v>Aireen Balanon</v>
      </c>
      <c r="B4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14:00 - 01:00</v>
      </c>
      <c r="C4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14:00 - 01:00</v>
      </c>
      <c r="D4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4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4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4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14:00 - 01:00</v>
      </c>
      <c r="H4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14:00 - 01:00</v>
      </c>
      <c r="I4" s="44" t="str">
        <f t="shared" si="0"/>
        <v>Wed - Thu - Fri</v>
      </c>
      <c r="J4" s="45">
        <f>MOD(Table2[[#This Row],[Break 1]]+TIME(12,0,0),1)</f>
        <v>0.66666666666666663</v>
      </c>
      <c r="K4" s="45">
        <f>MOD(Table2[[#This Row],[Break 2]]+TIME(12,0,0),1)</f>
        <v>0.89583333333333337</v>
      </c>
      <c r="L4" s="45">
        <f>MOD(Table2[[#This Row],[Lunch]]+TIME(12,0,0),1)</f>
        <v>0.80208333333333337</v>
      </c>
      <c r="M4" s="45">
        <f>MOD(Table2[[#This Row],[Break 3]]+TIME(12,0,0),1)</f>
        <v>0.98958333333333337</v>
      </c>
      <c r="N4" s="44" t="str">
        <f>Table2[[#This Row],[Supervisor]]</f>
        <v>Remmo Panaligan</v>
      </c>
      <c r="O4" s="44" t="str">
        <f>TEXT(TIMEVALUE(LEFT(Table2[[#This Row],[EST SHIFT]],5))+12/24,"hh:mm") &amp; " - " &amp; TEXT(TIMEVALUE(RIGHT(Table2[[#This Row],[EST SHIFT]],5))+12/24,"hh:mm")</f>
        <v>14:00 - 01:00</v>
      </c>
      <c r="P4" s="44">
        <f t="shared" si="1"/>
        <v>0</v>
      </c>
    </row>
    <row r="5" spans="1:16">
      <c r="A5" s="44" t="str">
        <f>Table2[[#This Row],[Name]]</f>
        <v>Jeffryl Joe Pardillo</v>
      </c>
      <c r="B5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15:00 - 02:00</v>
      </c>
      <c r="C5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15:00 - 02:00</v>
      </c>
      <c r="D5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15:00 - 02:00</v>
      </c>
      <c r="E5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5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5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5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15:00 - 02:00</v>
      </c>
      <c r="I5" s="44" t="str">
        <f t="shared" ref="I5:I36" si="2">_xlfn.TEXTJOIN(" - ",TRUE,
IF(B5="OFF","Mon",""),
IF(C5="OFF","Tue",""),
IF(D5="OFF","Wed",""),
IF(E5="OFF","Thu",""),
IF(F5="OFF","Fri",""),
IF(G5="OFF","Sat",""),
IF(H5="OFF","Sun",""))</f>
        <v>Thu - Fri - Sat</v>
      </c>
      <c r="J5" s="45">
        <f>MOD(Table2[[#This Row],[Break 1]]+TIME(12,0,0),1)</f>
        <v>0.69791666666666663</v>
      </c>
      <c r="K5" s="45">
        <f>MOD(Table2[[#This Row],[Break 2]]+TIME(12,0,0),1)</f>
        <v>0.91666666666666674</v>
      </c>
      <c r="L5" s="45">
        <f>MOD(Table2[[#This Row],[Lunch]]+TIME(12,0,0),1)</f>
        <v>0.79166666666666674</v>
      </c>
      <c r="M5" s="45">
        <f>MOD(Table2[[#This Row],[Break 3]]+TIME(12,0,0),1)</f>
        <v>2.0833333333333481E-2</v>
      </c>
      <c r="N5" s="44" t="str">
        <f>Table2[[#This Row],[Supervisor]]</f>
        <v>Christopher Rodas</v>
      </c>
      <c r="O5" s="44" t="str">
        <f>TEXT(TIMEVALUE(LEFT(Table2[[#This Row],[EST SHIFT]],5))+12/24,"hh:mm") &amp; " - " &amp; TEXT(TIMEVALUE(RIGHT(Table2[[#This Row],[EST SHIFT]],5))+12/24,"hh:mm")</f>
        <v>15:00 - 02:00</v>
      </c>
      <c r="P5" s="44">
        <f t="shared" si="1"/>
        <v>0</v>
      </c>
    </row>
    <row r="6" spans="1:16">
      <c r="A6" s="44" t="str">
        <f>Table2[[#This Row],[Name]]</f>
        <v>Chris Paul Dalut</v>
      </c>
      <c r="B6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16:00 - 03:00</v>
      </c>
      <c r="C6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16:00 - 03:00</v>
      </c>
      <c r="D6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6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16:00 - 03:00</v>
      </c>
      <c r="F6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16:00 - 03:00</v>
      </c>
      <c r="G6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6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6" s="44" t="str">
        <f t="shared" si="2"/>
        <v>Wed - Sat - Sun</v>
      </c>
      <c r="J6" s="45">
        <f>MOD(Table2[[#This Row],[Break 1]]+TIME(12,0,0),1)</f>
        <v>0.73958333333333326</v>
      </c>
      <c r="K6" s="45">
        <f>MOD(Table2[[#This Row],[Break 2]]+TIME(12,0,0),1)</f>
        <v>0.97916666666666674</v>
      </c>
      <c r="L6" s="45">
        <f>MOD(Table2[[#This Row],[Lunch]]+TIME(12,0,0),1)</f>
        <v>0.85416666666666674</v>
      </c>
      <c r="M6" s="45">
        <f>MOD(Table2[[#This Row],[Break 3]]+TIME(12,0,0),1)</f>
        <v>8.3333333333333259E-2</v>
      </c>
      <c r="N6" s="44" t="str">
        <f>Table2[[#This Row],[Supervisor]]</f>
        <v>Anmecha Valencia</v>
      </c>
      <c r="O6" s="44" t="str">
        <f>TEXT(TIMEVALUE(LEFT(Table2[[#This Row],[EST SHIFT]],5))+12/24,"hh:mm") &amp; " - " &amp; TEXT(TIMEVALUE(RIGHT(Table2[[#This Row],[EST SHIFT]],5))+12/24,"hh:mm")</f>
        <v>16:00 - 03:00</v>
      </c>
      <c r="P6" s="44">
        <f t="shared" si="1"/>
        <v>0</v>
      </c>
    </row>
    <row r="7" spans="1:16">
      <c r="A7" s="44" t="str">
        <f>Table2[[#This Row],[Name]]</f>
        <v>Jackyleen Caballero</v>
      </c>
      <c r="B7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18:00 - 05:00</v>
      </c>
      <c r="C7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18:00 - 05:00</v>
      </c>
      <c r="D7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18:00 - 05:00</v>
      </c>
      <c r="E7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7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7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7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18:00 - 05:00</v>
      </c>
      <c r="I7" s="44" t="str">
        <f t="shared" si="2"/>
        <v>Thu - Fri - Sat</v>
      </c>
      <c r="J7" s="45">
        <f>MOD(Table2[[#This Row],[Break 1]]+TIME(12,0,0),1)</f>
        <v>0.84375</v>
      </c>
      <c r="K7" s="45">
        <f>MOD(Table2[[#This Row],[Break 2]]+TIME(12,0,0),1)</f>
        <v>8.3333333333333259E-2</v>
      </c>
      <c r="L7" s="45">
        <f>MOD(Table2[[#This Row],[Lunch]]+TIME(12,0,0),1)</f>
        <v>0.95833333333333337</v>
      </c>
      <c r="M7" s="45">
        <f>MOD(Table2[[#This Row],[Break 3]]+TIME(12,0,0),1)</f>
        <v>0.1875</v>
      </c>
      <c r="N7" s="44" t="str">
        <f>Table2[[#This Row],[Supervisor]]</f>
        <v>Christopher Rodas</v>
      </c>
      <c r="O7" s="44" t="str">
        <f>TEXT(TIMEVALUE(LEFT(Table2[[#This Row],[EST SHIFT]],5))+12/24,"hh:mm") &amp; " - " &amp; TEXT(TIMEVALUE(RIGHT(Table2[[#This Row],[EST SHIFT]],5))+12/24,"hh:mm")</f>
        <v>18:00 - 05:00</v>
      </c>
      <c r="P7" s="44">
        <f t="shared" si="1"/>
        <v>0</v>
      </c>
    </row>
    <row r="8" spans="1:16">
      <c r="A8" s="44" t="str">
        <f>Table2[[#This Row],[Name]]</f>
        <v>Mark Raymond Mangaser Jr</v>
      </c>
      <c r="B8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18:00 - 05:00</v>
      </c>
      <c r="C8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18:00 - 05:00</v>
      </c>
      <c r="D8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8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8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8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18:00 - 05:00</v>
      </c>
      <c r="H8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18:00 - 05:00</v>
      </c>
      <c r="I8" s="44" t="str">
        <f t="shared" si="2"/>
        <v>Wed - Thu - Fri</v>
      </c>
      <c r="J8" s="45">
        <f>MOD(Table2[[#This Row],[Break 1]]+TIME(12,0,0),1)</f>
        <v>0.83333333333333337</v>
      </c>
      <c r="K8" s="45">
        <f>MOD(Table2[[#This Row],[Break 2]]+TIME(12,0,0),1)</f>
        <v>5.2083333333333259E-2</v>
      </c>
      <c r="L8" s="45">
        <f>MOD(Table2[[#This Row],[Lunch]]+TIME(12,0,0),1)</f>
        <v>0.92708333333333337</v>
      </c>
      <c r="M8" s="45">
        <f>MOD(Table2[[#This Row],[Break 3]]+TIME(12,0,0),1)</f>
        <v>0.15625</v>
      </c>
      <c r="N8" s="44" t="str">
        <f>Table2[[#This Row],[Supervisor]]</f>
        <v>Remmo Panaligan</v>
      </c>
      <c r="O8" s="44" t="str">
        <f>TEXT(TIMEVALUE(LEFT(Table2[[#This Row],[EST SHIFT]],5))+12/24,"hh:mm") &amp; " - " &amp; TEXT(TIMEVALUE(RIGHT(Table2[[#This Row],[EST SHIFT]],5))+12/24,"hh:mm")</f>
        <v>18:00 - 05:00</v>
      </c>
      <c r="P8" s="44">
        <f t="shared" si="1"/>
        <v>0</v>
      </c>
    </row>
    <row r="9" spans="1:16">
      <c r="A9" s="44" t="str">
        <f>Table2[[#This Row],[Name]]</f>
        <v>Raquela Nicole Lareta</v>
      </c>
      <c r="B9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18:00 - 05:00</v>
      </c>
      <c r="C9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18:00 - 05:00</v>
      </c>
      <c r="D9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18:00 - 05:00</v>
      </c>
      <c r="E9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9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9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9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18:00 - 05:00</v>
      </c>
      <c r="I9" s="44" t="str">
        <f t="shared" si="2"/>
        <v>Thu - Fri - Sat</v>
      </c>
      <c r="J9" s="45">
        <f>MOD(Table2[[#This Row],[Break 1]]+TIME(12,0,0),1)</f>
        <v>0.83333333333333337</v>
      </c>
      <c r="K9" s="45">
        <f>MOD(Table2[[#This Row],[Break 2]]+TIME(12,0,0),1)</f>
        <v>4.1666666666666519E-2</v>
      </c>
      <c r="L9" s="45">
        <f>MOD(Table2[[#This Row],[Lunch]]+TIME(12,0,0),1)</f>
        <v>0.91666666666666674</v>
      </c>
      <c r="M9" s="45">
        <f>MOD(Table2[[#This Row],[Break 3]]+TIME(12,0,0),1)</f>
        <v>0.15625</v>
      </c>
      <c r="N9" s="44" t="str">
        <f>Table2[[#This Row],[Supervisor]]</f>
        <v>Christopher Rodas</v>
      </c>
      <c r="O9" s="44" t="str">
        <f>TEXT(TIMEVALUE(LEFT(Table2[[#This Row],[EST SHIFT]],5))+12/24,"hh:mm") &amp; " - " &amp; TEXT(TIMEVALUE(RIGHT(Table2[[#This Row],[EST SHIFT]],5))+12/24,"hh:mm")</f>
        <v>18:00 - 05:00</v>
      </c>
      <c r="P9" s="44">
        <f t="shared" si="1"/>
        <v>0</v>
      </c>
    </row>
    <row r="10" spans="1:16">
      <c r="A10" s="44" t="str">
        <f>Table2[[#This Row],[Name]]</f>
        <v>Giselle Florendo</v>
      </c>
      <c r="B10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19:00 - 06:00</v>
      </c>
      <c r="C10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19:00 - 06:00</v>
      </c>
      <c r="D10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19:00 - 06:00</v>
      </c>
      <c r="E10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19:00 - 06:00</v>
      </c>
      <c r="F10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10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0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10" s="44" t="str">
        <f t="shared" si="2"/>
        <v>Fri - Sat - Sun</v>
      </c>
      <c r="J10" s="45">
        <f>MOD(Table2[[#This Row],[Break 1]]+TIME(12,0,0),1)</f>
        <v>0.88541666666666674</v>
      </c>
      <c r="K10" s="45">
        <f>MOD(Table2[[#This Row],[Break 2]]+TIME(12,0,0),1)</f>
        <v>0.10416666666666652</v>
      </c>
      <c r="L10" s="45">
        <f>MOD(Table2[[#This Row],[Lunch]]+TIME(12,0,0),1)</f>
        <v>0.97916666666666674</v>
      </c>
      <c r="M10" s="45">
        <f>MOD(Table2[[#This Row],[Break 3]]+TIME(12,0,0),1)</f>
        <v>0.19791666666666652</v>
      </c>
      <c r="N10" s="44" t="str">
        <f>Table2[[#This Row],[Supervisor]]</f>
        <v>Remmo Panaligan</v>
      </c>
      <c r="O10" s="44" t="str">
        <f>TEXT(TIMEVALUE(LEFT(Table2[[#This Row],[EST SHIFT]],5))+12/24,"hh:mm") &amp; " - " &amp; TEXT(TIMEVALUE(RIGHT(Table2[[#This Row],[EST SHIFT]],5))+12/24,"hh:mm")</f>
        <v>19:00 - 06:00</v>
      </c>
      <c r="P10" s="44">
        <f t="shared" si="1"/>
        <v>0</v>
      </c>
    </row>
    <row r="11" spans="1:16">
      <c r="A11" s="44" t="str">
        <f>Table2[[#This Row],[Name]]</f>
        <v>Joemie Ann Benedicto</v>
      </c>
      <c r="B11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19:00 - 06:00</v>
      </c>
      <c r="C11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19:00 - 06:00</v>
      </c>
      <c r="D11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19:00 - 06:00</v>
      </c>
      <c r="E11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19:00 - 06:00</v>
      </c>
      <c r="F11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11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1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11" s="44" t="str">
        <f t="shared" si="2"/>
        <v>Fri - Sat - Sun</v>
      </c>
      <c r="J11" s="45">
        <f>MOD(Table2[[#This Row],[Break 1]]+TIME(12,0,0),1)</f>
        <v>0.875</v>
      </c>
      <c r="K11" s="45">
        <f>MOD(Table2[[#This Row],[Break 2]]+TIME(12,0,0),1)</f>
        <v>9.375E-2</v>
      </c>
      <c r="L11" s="45">
        <f>MOD(Table2[[#This Row],[Lunch]]+TIME(12,0,0),1)</f>
        <v>0.96875</v>
      </c>
      <c r="M11" s="45">
        <f>MOD(Table2[[#This Row],[Break 3]]+TIME(12,0,0),1)</f>
        <v>0.1875</v>
      </c>
      <c r="N11" s="44" t="str">
        <f>Table2[[#This Row],[Supervisor]]</f>
        <v>Remmo Panaligan</v>
      </c>
      <c r="O11" s="44" t="str">
        <f>TEXT(TIMEVALUE(LEFT(Table2[[#This Row],[EST SHIFT]],5))+12/24,"hh:mm") &amp; " - " &amp; TEXT(TIMEVALUE(RIGHT(Table2[[#This Row],[EST SHIFT]],5))+12/24,"hh:mm")</f>
        <v>19:00 - 06:00</v>
      </c>
      <c r="P11" s="44">
        <f t="shared" si="1"/>
        <v>0</v>
      </c>
    </row>
    <row r="12" spans="1:16">
      <c r="A12" s="44" t="str">
        <f>Table2[[#This Row],[Name]]</f>
        <v>Roy Sagales</v>
      </c>
      <c r="B12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20:00 - 07:00</v>
      </c>
      <c r="C12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20:00 - 07:00</v>
      </c>
      <c r="D12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12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12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12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20:00 - 07:00</v>
      </c>
      <c r="H12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20:00 - 07:00</v>
      </c>
      <c r="I12" s="44" t="str">
        <f t="shared" si="2"/>
        <v>Wed - Thu - Fri</v>
      </c>
      <c r="J12" s="45">
        <f>MOD(Table2[[#This Row],[Break 1]]+TIME(12,0,0),1)</f>
        <v>0.90625</v>
      </c>
      <c r="K12" s="45">
        <f>MOD(Table2[[#This Row],[Break 2]]+TIME(12,0,0),1)</f>
        <v>0.11458333333333326</v>
      </c>
      <c r="L12" s="45">
        <f>MOD(Table2[[#This Row],[Lunch]]+TIME(12,0,0),1)</f>
        <v>0.98958333333333337</v>
      </c>
      <c r="M12" s="45">
        <f>MOD(Table2[[#This Row],[Break 3]]+TIME(12,0,0),1)</f>
        <v>0.21875</v>
      </c>
      <c r="N12" s="44" t="str">
        <f>Table2[[#This Row],[Supervisor]]</f>
        <v>Michael Dominguez</v>
      </c>
      <c r="O12" s="44" t="str">
        <f>TEXT(TIMEVALUE(LEFT(Table2[[#This Row],[EST SHIFT]],5))+12/24,"hh:mm") &amp; " - " &amp; TEXT(TIMEVALUE(RIGHT(Table2[[#This Row],[EST SHIFT]],5))+12/24,"hh:mm")</f>
        <v>20:00 - 07:00</v>
      </c>
      <c r="P12" s="44">
        <f t="shared" si="1"/>
        <v>0</v>
      </c>
    </row>
    <row r="13" spans="1:16">
      <c r="A13" s="44" t="str">
        <f>Table2[[#This Row],[Name]]</f>
        <v>Shiela Mae Laroa</v>
      </c>
      <c r="B13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20:00 - 07:00</v>
      </c>
      <c r="C13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20:00 - 07:00</v>
      </c>
      <c r="D13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20:00 - 07:00</v>
      </c>
      <c r="E13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20:00 - 07:00</v>
      </c>
      <c r="F13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13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3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13" s="44" t="str">
        <f t="shared" si="2"/>
        <v>Fri - Sat - Sun</v>
      </c>
      <c r="J13" s="45">
        <f>MOD(Table2[[#This Row],[Break 1]]+TIME(12,0,0),1)</f>
        <v>0.91666666666666674</v>
      </c>
      <c r="K13" s="45">
        <f>MOD(Table2[[#This Row],[Break 2]]+TIME(12,0,0),1)</f>
        <v>2.0833333333333481E-2</v>
      </c>
      <c r="L13" s="45">
        <f>MOD(Table2[[#This Row],[Lunch]]+TIME(12,0,0),1)</f>
        <v>0.125</v>
      </c>
      <c r="M13" s="45">
        <f>MOD(Table2[[#This Row],[Break 3]]+TIME(12,0,0),1)</f>
        <v>0.21875</v>
      </c>
      <c r="N13" s="44" t="str">
        <f>Table2[[#This Row],[Supervisor]]</f>
        <v>Manilyn Abellar</v>
      </c>
      <c r="O13" s="44" t="str">
        <f>TEXT(TIMEVALUE(LEFT(Table2[[#This Row],[EST SHIFT]],5))+12/24,"hh:mm") &amp; " - " &amp; TEXT(TIMEVALUE(RIGHT(Table2[[#This Row],[EST SHIFT]],5))+12/24,"hh:mm")</f>
        <v>20:00 - 07:00</v>
      </c>
      <c r="P13" s="44">
        <f t="shared" si="1"/>
        <v>0</v>
      </c>
    </row>
    <row r="14" spans="1:16">
      <c r="A14" s="44" t="str">
        <f>Table2[[#This Row],[Name]]</f>
        <v>Antonio Agda</v>
      </c>
      <c r="B14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20:30 - 07:30</v>
      </c>
      <c r="C14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20:30 - 07:30</v>
      </c>
      <c r="D14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20:30 - 07:30</v>
      </c>
      <c r="E14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20:30 - 07:30</v>
      </c>
      <c r="F14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14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4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14" s="44" t="str">
        <f t="shared" si="2"/>
        <v>Fri - Sat - Sun</v>
      </c>
      <c r="J14" s="45">
        <f>MOD(Table2[[#This Row],[Break 1]]+TIME(12,0,0),1)</f>
        <v>0.92708333333333337</v>
      </c>
      <c r="K14" s="45">
        <f>MOD(Table2[[#This Row],[Break 2]]+TIME(12,0,0),1)</f>
        <v>0.15625</v>
      </c>
      <c r="L14" s="45">
        <f>MOD(Table2[[#This Row],[Lunch]]+TIME(12,0,0),1)</f>
        <v>1.0416666666666519E-2</v>
      </c>
      <c r="M14" s="45">
        <f>MOD(Table2[[#This Row],[Break 3]]+TIME(12,0,0),1)</f>
        <v>0.26041666666666652</v>
      </c>
      <c r="N14" s="44" t="str">
        <f>Table2[[#This Row],[Supervisor]]</f>
        <v>Manilyn Abellar</v>
      </c>
      <c r="O14" s="44" t="str">
        <f>TEXT(TIMEVALUE(LEFT(Table2[[#This Row],[EST SHIFT]],5))+12/24,"hh:mm") &amp; " - " &amp; TEXT(TIMEVALUE(RIGHT(Table2[[#This Row],[EST SHIFT]],5))+12/24,"hh:mm")</f>
        <v>20:30 - 07:30</v>
      </c>
      <c r="P14" s="44">
        <f t="shared" si="1"/>
        <v>0</v>
      </c>
    </row>
    <row r="15" spans="1:16">
      <c r="A15" s="44" t="str">
        <f>Table2[[#This Row],[Name]]</f>
        <v>Cleendy Cerilla</v>
      </c>
      <c r="B15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20:30 - 07:30</v>
      </c>
      <c r="C15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20:30 - 07:30</v>
      </c>
      <c r="D15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20:30 - 07:30</v>
      </c>
      <c r="E15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20:30 - 07:30</v>
      </c>
      <c r="F15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15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5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15" s="44" t="str">
        <f t="shared" si="2"/>
        <v>Fri - Sat - Sun</v>
      </c>
      <c r="J15" s="45">
        <f>MOD(Table2[[#This Row],[Break 1]]+TIME(12,0,0),1)</f>
        <v>0.9375</v>
      </c>
      <c r="K15" s="45">
        <f>MOD(Table2[[#This Row],[Break 2]]+TIME(12,0,0),1)</f>
        <v>0.14583333333333326</v>
      </c>
      <c r="L15" s="45">
        <f>MOD(Table2[[#This Row],[Lunch]]+TIME(12,0,0),1)</f>
        <v>2.0833333333333481E-2</v>
      </c>
      <c r="M15" s="45">
        <f>MOD(Table2[[#This Row],[Break 3]]+TIME(12,0,0),1)</f>
        <v>0.27083333333333326</v>
      </c>
      <c r="N15" s="44" t="str">
        <f>Table2[[#This Row],[Supervisor]]</f>
        <v>Christopher Rodas</v>
      </c>
      <c r="O15" s="44" t="str">
        <f>TEXT(TIMEVALUE(LEFT(Table2[[#This Row],[EST SHIFT]],5))+12/24,"hh:mm") &amp; " - " &amp; TEXT(TIMEVALUE(RIGHT(Table2[[#This Row],[EST SHIFT]],5))+12/24,"hh:mm")</f>
        <v>20:30 - 07:30</v>
      </c>
      <c r="P15" s="44">
        <f t="shared" si="1"/>
        <v>0</v>
      </c>
    </row>
    <row r="16" spans="1:16">
      <c r="A16" s="44" t="str">
        <f>Table2[[#This Row],[Name]]</f>
        <v>Andrei Mark Llenos</v>
      </c>
      <c r="B16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21:00 - 08:00</v>
      </c>
      <c r="C16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21:00 - 08:00</v>
      </c>
      <c r="D16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21:00 - 08:00</v>
      </c>
      <c r="E16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16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21:00 - 08:00</v>
      </c>
      <c r="G16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6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16" s="44" t="str">
        <f t="shared" si="2"/>
        <v>Thu - Sat - Sun</v>
      </c>
      <c r="J16" s="45">
        <f>MOD(Table2[[#This Row],[Break 1]]+TIME(12,0,0),1)</f>
        <v>0.9375</v>
      </c>
      <c r="K16" s="45">
        <f>MOD(Table2[[#This Row],[Break 2]]+TIME(12,0,0),1)</f>
        <v>0.14583333333333326</v>
      </c>
      <c r="L16" s="45">
        <f>MOD(Table2[[#This Row],[Lunch]]+TIME(12,0,0),1)</f>
        <v>2.0833333333333481E-2</v>
      </c>
      <c r="M16" s="45">
        <f>MOD(Table2[[#This Row],[Break 3]]+TIME(12,0,0),1)</f>
        <v>0.28125</v>
      </c>
      <c r="N16" s="44" t="str">
        <f>Table2[[#This Row],[Supervisor]]</f>
        <v>Manilyn Abellar</v>
      </c>
      <c r="O16" s="44" t="str">
        <f>TEXT(TIMEVALUE(LEFT(Table2[[#This Row],[EST SHIFT]],5))+12/24,"hh:mm") &amp; " - " &amp; TEXT(TIMEVALUE(RIGHT(Table2[[#This Row],[EST SHIFT]],5))+12/24,"hh:mm")</f>
        <v>21:00 - 08:00</v>
      </c>
      <c r="P16" s="44">
        <f t="shared" si="1"/>
        <v>0</v>
      </c>
    </row>
    <row r="17" spans="1:16">
      <c r="A17" s="44" t="str">
        <f>Table2[[#This Row],[Name]]</f>
        <v>Dairenn Angel Adarne</v>
      </c>
      <c r="B17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21:00 - 08:00</v>
      </c>
      <c r="C17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17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17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17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21:00 - 08:00</v>
      </c>
      <c r="G17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21:00 - 08:00</v>
      </c>
      <c r="H17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21:00 - 08:00</v>
      </c>
      <c r="I17" s="44" t="str">
        <f t="shared" si="2"/>
        <v>Tue - Wed - Thu</v>
      </c>
      <c r="J17" s="45">
        <f>MOD(Table2[[#This Row],[Break 1]]+TIME(12,0,0),1)</f>
        <v>0.97916666666666674</v>
      </c>
      <c r="K17" s="45">
        <f>MOD(Table2[[#This Row],[Break 2]]+TIME(12,0,0),1)</f>
        <v>0.1875</v>
      </c>
      <c r="L17" s="45">
        <f>MOD(Table2[[#This Row],[Lunch]]+TIME(12,0,0),1)</f>
        <v>6.25E-2</v>
      </c>
      <c r="M17" s="45">
        <f>MOD(Table2[[#This Row],[Break 3]]+TIME(12,0,0),1)</f>
        <v>0.29166666666666652</v>
      </c>
      <c r="N17" s="44" t="str">
        <f>Table2[[#This Row],[Supervisor]]</f>
        <v>Manilyn Abellar</v>
      </c>
      <c r="O17" s="44" t="str">
        <f>TEXT(TIMEVALUE(LEFT(Table2[[#This Row],[EST SHIFT]],5))+12/24,"hh:mm") &amp; " - " &amp; TEXT(TIMEVALUE(RIGHT(Table2[[#This Row],[EST SHIFT]],5))+12/24,"hh:mm")</f>
        <v>21:00 - 08:00</v>
      </c>
      <c r="P17" s="44">
        <f t="shared" si="1"/>
        <v>0</v>
      </c>
    </row>
    <row r="18" spans="1:16">
      <c r="A18" s="44" t="str">
        <f>Table2[[#This Row],[Name]]</f>
        <v>Eljhon Mar Cabalida</v>
      </c>
      <c r="B18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21:00 - 08:00</v>
      </c>
      <c r="C18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21:00 - 08:00</v>
      </c>
      <c r="D18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18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21:00 - 08:00</v>
      </c>
      <c r="F18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21:00 - 08:00</v>
      </c>
      <c r="G18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8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18" s="44" t="str">
        <f t="shared" si="2"/>
        <v>Wed - Sat - Sun</v>
      </c>
      <c r="J18" s="45">
        <f>MOD(Table2[[#This Row],[Break 1]]+TIME(12,0,0),1)</f>
        <v>0.97916666666666674</v>
      </c>
      <c r="K18" s="45">
        <f>MOD(Table2[[#This Row],[Break 2]]+TIME(12,0,0),1)</f>
        <v>0.19791666666666652</v>
      </c>
      <c r="L18" s="45">
        <f>MOD(Table2[[#This Row],[Lunch]]+TIME(12,0,0),1)</f>
        <v>7.2916666666666519E-2</v>
      </c>
      <c r="M18" s="45">
        <f>MOD(Table2[[#This Row],[Break 3]]+TIME(12,0,0),1)</f>
        <v>0.29166666666666652</v>
      </c>
      <c r="N18" s="44" t="str">
        <f>Table2[[#This Row],[Supervisor]]</f>
        <v>Michael Dominguez</v>
      </c>
      <c r="O18" s="44" t="str">
        <f>TEXT(TIMEVALUE(LEFT(Table2[[#This Row],[EST SHIFT]],5))+12/24,"hh:mm") &amp; " - " &amp; TEXT(TIMEVALUE(RIGHT(Table2[[#This Row],[EST SHIFT]],5))+12/24,"hh:mm")</f>
        <v>21:00 - 08:00</v>
      </c>
      <c r="P18" s="44">
        <f t="shared" si="1"/>
        <v>0</v>
      </c>
    </row>
    <row r="19" spans="1:16">
      <c r="A19" s="44" t="str">
        <f>Table2[[#This Row],[Name]]</f>
        <v>James Matthew Santos</v>
      </c>
      <c r="B19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21:00 - 08:00</v>
      </c>
      <c r="C19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21:00 - 08:00</v>
      </c>
      <c r="D19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19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21:00 - 08:00</v>
      </c>
      <c r="F19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21:00 - 08:00</v>
      </c>
      <c r="G19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19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19" s="44" t="str">
        <f t="shared" si="2"/>
        <v>Wed - Sat - Sun</v>
      </c>
      <c r="J19" s="45">
        <f>MOD(Table2[[#This Row],[Break 1]]+TIME(12,0,0),1)</f>
        <v>0.96875</v>
      </c>
      <c r="K19" s="45">
        <f>MOD(Table2[[#This Row],[Break 2]]+TIME(12,0,0),1)</f>
        <v>0.19791666666666652</v>
      </c>
      <c r="L19" s="45">
        <f>MOD(Table2[[#This Row],[Lunch]]+TIME(12,0,0),1)</f>
        <v>7.2916666666666519E-2</v>
      </c>
      <c r="M19" s="45">
        <f>MOD(Table2[[#This Row],[Break 3]]+TIME(12,0,0),1)</f>
        <v>0.29166666666666652</v>
      </c>
      <c r="N19" s="44" t="str">
        <f>Table2[[#This Row],[Supervisor]]</f>
        <v>Remmo Panaligan</v>
      </c>
      <c r="O19" s="44" t="str">
        <f>TEXT(TIMEVALUE(LEFT(Table2[[#This Row],[EST SHIFT]],5))+12/24,"hh:mm") &amp; " - " &amp; TEXT(TIMEVALUE(RIGHT(Table2[[#This Row],[EST SHIFT]],5))+12/24,"hh:mm")</f>
        <v>21:00 - 08:00</v>
      </c>
      <c r="P19" s="44">
        <f t="shared" si="1"/>
        <v>0</v>
      </c>
    </row>
    <row r="20" spans="1:16">
      <c r="A20" s="44" t="str">
        <f>Table2[[#This Row],[Name]]</f>
        <v>Jeycel Roxas</v>
      </c>
      <c r="B20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21:00 - 08:00</v>
      </c>
      <c r="C20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20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21:00 - 08:00</v>
      </c>
      <c r="E20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21:00 - 08:00</v>
      </c>
      <c r="F20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21:00 - 08:00</v>
      </c>
      <c r="G20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20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20" s="44" t="str">
        <f t="shared" si="2"/>
        <v>Tue - Sat - Sun</v>
      </c>
      <c r="J20" s="45">
        <f>MOD(Table2[[#This Row],[Break 1]]+TIME(12,0,0),1)</f>
        <v>0.95833333333333337</v>
      </c>
      <c r="K20" s="45">
        <f>MOD(Table2[[#This Row],[Break 2]]+TIME(12,0,0),1)</f>
        <v>0.1875</v>
      </c>
      <c r="L20" s="45">
        <f>MOD(Table2[[#This Row],[Lunch]]+TIME(12,0,0),1)</f>
        <v>4.1666666666666519E-2</v>
      </c>
      <c r="M20" s="45">
        <f>MOD(Table2[[#This Row],[Break 3]]+TIME(12,0,0),1)</f>
        <v>0.29166666666666652</v>
      </c>
      <c r="N20" s="44" t="str">
        <f>Table2[[#This Row],[Supervisor]]</f>
        <v>Manilyn Abellar</v>
      </c>
      <c r="O20" s="44" t="str">
        <f>TEXT(TIMEVALUE(LEFT(Table2[[#This Row],[EST SHIFT]],5))+12/24,"hh:mm") &amp; " - " &amp; TEXT(TIMEVALUE(RIGHT(Table2[[#This Row],[EST SHIFT]],5))+12/24,"hh:mm")</f>
        <v>21:00 - 08:00</v>
      </c>
      <c r="P20" s="44">
        <f t="shared" si="1"/>
        <v>0</v>
      </c>
    </row>
    <row r="21" spans="1:16">
      <c r="A21" s="44" t="str">
        <f>Table2[[#This Row],[Name]]</f>
        <v>Juvy Labong</v>
      </c>
      <c r="B21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21:00 - 08:00</v>
      </c>
      <c r="C21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21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21:00 - 08:00</v>
      </c>
      <c r="E21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21:00 - 08:00</v>
      </c>
      <c r="F21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21:00 - 08:00</v>
      </c>
      <c r="G21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21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21" s="44" t="str">
        <f t="shared" si="2"/>
        <v>Tue - Sat - Sun</v>
      </c>
      <c r="J21" s="45">
        <f>MOD(Table2[[#This Row],[Break 1]]+TIME(12,0,0),1)</f>
        <v>0.96875</v>
      </c>
      <c r="K21" s="45">
        <f>MOD(Table2[[#This Row],[Break 2]]+TIME(12,0,0),1)</f>
        <v>0.17708333333333326</v>
      </c>
      <c r="L21" s="45">
        <f>MOD(Table2[[#This Row],[Lunch]]+TIME(12,0,0),1)</f>
        <v>5.2083333333333259E-2</v>
      </c>
      <c r="M21" s="45">
        <f>MOD(Table2[[#This Row],[Break 3]]+TIME(12,0,0),1)</f>
        <v>0.28125</v>
      </c>
      <c r="N21" s="44" t="str">
        <f>Table2[[#This Row],[Supervisor]]</f>
        <v>Remmo Panaligan</v>
      </c>
      <c r="O21" s="44" t="str">
        <f>TEXT(TIMEVALUE(LEFT(Table2[[#This Row],[EST SHIFT]],5))+12/24,"hh:mm") &amp; " - " &amp; TEXT(TIMEVALUE(RIGHT(Table2[[#This Row],[EST SHIFT]],5))+12/24,"hh:mm")</f>
        <v>21:00 - 08:00</v>
      </c>
      <c r="P21" s="44">
        <f t="shared" si="1"/>
        <v>0</v>
      </c>
    </row>
    <row r="22" spans="1:16">
      <c r="A22" s="44" t="str">
        <f>Table2[[#This Row],[Name]]</f>
        <v>Kenneth Oribello</v>
      </c>
      <c r="B22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21:00 - 08:00</v>
      </c>
      <c r="C22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21:00 - 08:00</v>
      </c>
      <c r="D22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22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21:00 - 08:00</v>
      </c>
      <c r="F22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21:00 - 08:00</v>
      </c>
      <c r="G22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22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22" s="44" t="str">
        <f t="shared" si="2"/>
        <v>Wed - Sat - Sun</v>
      </c>
      <c r="J22" s="45">
        <f>MOD(Table2[[#This Row],[Break 1]]+TIME(12,0,0),1)</f>
        <v>0.97916666666666674</v>
      </c>
      <c r="K22" s="45">
        <f>MOD(Table2[[#This Row],[Break 2]]+TIME(12,0,0),1)</f>
        <v>0.22916666666666652</v>
      </c>
      <c r="L22" s="45">
        <f>MOD(Table2[[#This Row],[Lunch]]+TIME(12,0,0),1)</f>
        <v>0.10416666666666652</v>
      </c>
      <c r="M22" s="45">
        <f>MOD(Table2[[#This Row],[Break 3]]+TIME(12,0,0),1)</f>
        <v>0.29166666666666652</v>
      </c>
      <c r="N22" s="44" t="str">
        <f>Table2[[#This Row],[Supervisor]]</f>
        <v>Michael Dominguez</v>
      </c>
      <c r="O22" s="44" t="str">
        <f>TEXT(TIMEVALUE(LEFT(Table2[[#This Row],[EST SHIFT]],5))+12/24,"hh:mm") &amp; " - " &amp; TEXT(TIMEVALUE(RIGHT(Table2[[#This Row],[EST SHIFT]],5))+12/24,"hh:mm")</f>
        <v>21:00 - 08:00</v>
      </c>
      <c r="P22" s="44">
        <f t="shared" si="1"/>
        <v>0</v>
      </c>
    </row>
    <row r="23" spans="1:16">
      <c r="A23" s="44" t="str">
        <f>Table2[[#This Row],[Name]]</f>
        <v>Lanz Jason Medallo</v>
      </c>
      <c r="B23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21:00 - 08:00</v>
      </c>
      <c r="C23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21:00 - 08:00</v>
      </c>
      <c r="D23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23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21:00 - 08:00</v>
      </c>
      <c r="F23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21:00 - 08:00</v>
      </c>
      <c r="G23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23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23" s="44" t="str">
        <f t="shared" si="2"/>
        <v>Wed - Sat - Sun</v>
      </c>
      <c r="J23" s="45">
        <f>MOD(Table2[[#This Row],[Break 1]]+TIME(12,0,0),1)</f>
        <v>0.95833333333333337</v>
      </c>
      <c r="K23" s="45">
        <f>MOD(Table2[[#This Row],[Break 2]]+TIME(12,0,0),1)</f>
        <v>0.16666666666666652</v>
      </c>
      <c r="L23" s="45">
        <f>MOD(Table2[[#This Row],[Lunch]]+TIME(12,0,0),1)</f>
        <v>4.1666666666666519E-2</v>
      </c>
      <c r="M23" s="45">
        <f>MOD(Table2[[#This Row],[Break 3]]+TIME(12,0,0),1)</f>
        <v>0.26041666666666652</v>
      </c>
      <c r="N23" s="44" t="str">
        <f>Table2[[#This Row],[Supervisor]]</f>
        <v>Remmo Panaligan</v>
      </c>
      <c r="O23" s="44" t="str">
        <f>TEXT(TIMEVALUE(LEFT(Table2[[#This Row],[EST SHIFT]],5))+12/24,"hh:mm") &amp; " - " &amp; TEXT(TIMEVALUE(RIGHT(Table2[[#This Row],[EST SHIFT]],5))+12/24,"hh:mm")</f>
        <v>21:00 - 08:00</v>
      </c>
      <c r="P23" s="44">
        <f t="shared" si="1"/>
        <v>0</v>
      </c>
    </row>
    <row r="24" spans="1:16">
      <c r="A24" s="44" t="str">
        <f>Table2[[#This Row],[Name]]</f>
        <v>William Nava</v>
      </c>
      <c r="B24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21:00 - 08:00</v>
      </c>
      <c r="C24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24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21:00 - 08:00</v>
      </c>
      <c r="E24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21:00 - 08:00</v>
      </c>
      <c r="F24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21:00 - 08:00</v>
      </c>
      <c r="G24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24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24" s="44" t="str">
        <f t="shared" si="2"/>
        <v>Tue - Sat - Sun</v>
      </c>
      <c r="J24" s="45">
        <f>MOD(Table2[[#This Row],[Break 1]]+TIME(12,0,0),1)</f>
        <v>0.96875</v>
      </c>
      <c r="K24" s="45">
        <f>MOD(Table2[[#This Row],[Break 2]]+TIME(12,0,0),1)</f>
        <v>0.1875</v>
      </c>
      <c r="L24" s="45">
        <f>MOD(Table2[[#This Row],[Lunch]]+TIME(12,0,0),1)</f>
        <v>5.2083333333333259E-2</v>
      </c>
      <c r="M24" s="45">
        <f>MOD(Table2[[#This Row],[Break 3]]+TIME(12,0,0),1)</f>
        <v>0.30208333333333326</v>
      </c>
      <c r="N24" s="44" t="str">
        <f>Table2[[#This Row],[Supervisor]]</f>
        <v>Anmecha Valencia</v>
      </c>
      <c r="O24" s="44" t="str">
        <f>TEXT(TIMEVALUE(LEFT(Table2[[#This Row],[EST SHIFT]],5))+12/24,"hh:mm") &amp; " - " &amp; TEXT(TIMEVALUE(RIGHT(Table2[[#This Row],[EST SHIFT]],5))+12/24,"hh:mm")</f>
        <v>21:00 - 08:00</v>
      </c>
      <c r="P24" s="44">
        <f t="shared" si="1"/>
        <v>0</v>
      </c>
    </row>
    <row r="25" spans="1:16">
      <c r="A25" s="44" t="str">
        <f>Table2[[#This Row],[Name]]</f>
        <v>Benedict Ermitano</v>
      </c>
      <c r="B25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22:00 - 09:00</v>
      </c>
      <c r="C25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22:00 - 09:00</v>
      </c>
      <c r="D25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22:00 - 09:00</v>
      </c>
      <c r="E25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25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25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25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25" s="44" t="str">
        <f t="shared" si="2"/>
        <v>Thu - Sat - Sun</v>
      </c>
      <c r="J25" s="45">
        <f>MOD(Table2[[#This Row],[Break 1]]+TIME(12,0,0),1)</f>
        <v>2.0833333333333481E-2</v>
      </c>
      <c r="K25" s="45">
        <f>MOD(Table2[[#This Row],[Break 2]]+TIME(12,0,0),1)</f>
        <v>0.16666666666666652</v>
      </c>
      <c r="L25" s="45">
        <f>MOD(Table2[[#This Row],[Lunch]]+TIME(12,0,0),1)</f>
        <v>9.375E-2</v>
      </c>
      <c r="M25" s="45">
        <f>MOD(Table2[[#This Row],[Break 3]]+TIME(12,0,0),1)</f>
        <v>0.3125</v>
      </c>
      <c r="N25" s="44" t="str">
        <f>Table2[[#This Row],[Supervisor]]</f>
        <v>Michael Dominguez</v>
      </c>
      <c r="O25" s="44" t="str">
        <f>TEXT(TIMEVALUE(LEFT(Table2[[#This Row],[EST SHIFT]],5))+12/24,"hh:mm") &amp; " - " &amp; TEXT(TIMEVALUE(RIGHT(Table2[[#This Row],[EST SHIFT]],5))+12/24,"hh:mm")</f>
        <v>22:00 - 09:00</v>
      </c>
      <c r="P25" s="44">
        <f t="shared" si="1"/>
        <v>0</v>
      </c>
    </row>
    <row r="26" spans="1:16">
      <c r="A26" s="44" t="str">
        <f>Table2[[#This Row],[Name]]</f>
        <v>Charisse Capuno</v>
      </c>
      <c r="B26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22:00 - 09:00</v>
      </c>
      <c r="C26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26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22:00 - 09:00</v>
      </c>
      <c r="E26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22:00 - 09:00</v>
      </c>
      <c r="F26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26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26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26" s="44" t="str">
        <f t="shared" si="2"/>
        <v>Tue - Sat - Sun</v>
      </c>
      <c r="J26" s="45">
        <f>MOD(Table2[[#This Row],[Break 1]]+TIME(12,0,0),1)</f>
        <v>1.0416666666666519E-2</v>
      </c>
      <c r="K26" s="45">
        <f>MOD(Table2[[#This Row],[Break 2]]+TIME(12,0,0),1)</f>
        <v>0.10416666666666652</v>
      </c>
      <c r="L26" s="45">
        <f>MOD(Table2[[#This Row],[Lunch]]+TIME(12,0,0),1)</f>
        <v>0.29166666666666652</v>
      </c>
      <c r="M26" s="45">
        <f>MOD(Table2[[#This Row],[Break 3]]+TIME(12,0,0),1)</f>
        <v>0.19791666666666652</v>
      </c>
      <c r="N26" s="44" t="str">
        <f>Table2[[#This Row],[Supervisor]]</f>
        <v>Anmecha Valencia</v>
      </c>
      <c r="O26" s="44" t="str">
        <f>TEXT(TIMEVALUE(LEFT(Table2[[#This Row],[EST SHIFT]],5))+12/24,"hh:mm") &amp; " - " &amp; TEXT(TIMEVALUE(RIGHT(Table2[[#This Row],[EST SHIFT]],5))+12/24,"hh:mm")</f>
        <v>22:00 - 09:00</v>
      </c>
      <c r="P26" s="44">
        <f t="shared" si="1"/>
        <v>0</v>
      </c>
    </row>
    <row r="27" spans="1:16">
      <c r="A27" s="44" t="str">
        <f>Table2[[#This Row],[Name]]</f>
        <v>Cyril Tagalog</v>
      </c>
      <c r="B27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22:00 - 09:00</v>
      </c>
      <c r="C27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22:00 - 09:00</v>
      </c>
      <c r="D27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22:00 - 09:00</v>
      </c>
      <c r="E27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22:00 - 09:00</v>
      </c>
      <c r="F27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27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27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27" s="44" t="str">
        <f t="shared" si="2"/>
        <v>Fri - Sat - Sun</v>
      </c>
      <c r="J27" s="45">
        <f>MOD(Table2[[#This Row],[Break 1]]+TIME(12,0,0),1)</f>
        <v>2.0833333333333481E-2</v>
      </c>
      <c r="K27" s="45">
        <f>MOD(Table2[[#This Row],[Break 2]]+TIME(12,0,0),1)</f>
        <v>0.27083333333333326</v>
      </c>
      <c r="L27" s="45">
        <f>MOD(Table2[[#This Row],[Lunch]]+TIME(12,0,0),1)</f>
        <v>0.14583333333333326</v>
      </c>
      <c r="M27" s="45">
        <f>MOD(Table2[[#This Row],[Break 3]]+TIME(12,0,0),1)</f>
        <v>0.34375</v>
      </c>
      <c r="N27" s="44" t="str">
        <f>Table2[[#This Row],[Supervisor]]</f>
        <v>Christopher Rodas</v>
      </c>
      <c r="O27" s="44" t="str">
        <f>TEXT(TIMEVALUE(LEFT(Table2[[#This Row],[EST SHIFT]],5))+12/24,"hh:mm") &amp; " - " &amp; TEXT(TIMEVALUE(RIGHT(Table2[[#This Row],[EST SHIFT]],5))+12/24,"hh:mm")</f>
        <v>22:00 - 09:00</v>
      </c>
      <c r="P27" s="44">
        <f t="shared" si="1"/>
        <v>0</v>
      </c>
    </row>
    <row r="28" spans="1:16">
      <c r="A28" s="44" t="str">
        <f>Table2[[#This Row],[Name]]</f>
        <v>Eduardo Jacinto</v>
      </c>
      <c r="B28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22:00 - 09:00</v>
      </c>
      <c r="C28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22:00 - 09:00</v>
      </c>
      <c r="D28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22:00 - 09:00</v>
      </c>
      <c r="E28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28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28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28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28" s="44" t="str">
        <f t="shared" si="2"/>
        <v>Thu - Sat - Sun</v>
      </c>
      <c r="J28" s="45">
        <f>MOD(Table2[[#This Row],[Break 1]]+TIME(12,0,0),1)</f>
        <v>0</v>
      </c>
      <c r="K28" s="45">
        <f>MOD(Table2[[#This Row],[Break 2]]+TIME(12,0,0),1)</f>
        <v>0.11458333333333326</v>
      </c>
      <c r="L28" s="45">
        <f>MOD(Table2[[#This Row],[Lunch]]+TIME(12,0,0),1)</f>
        <v>0.1875</v>
      </c>
      <c r="M28" s="45">
        <f>MOD(Table2[[#This Row],[Break 3]]+TIME(12,0,0),1)</f>
        <v>0.3125</v>
      </c>
      <c r="N28" s="44" t="str">
        <f>Table2[[#This Row],[Supervisor]]</f>
        <v>Anmecha Valencia</v>
      </c>
      <c r="O28" s="44" t="str">
        <f>TEXT(TIMEVALUE(LEFT(Table2[[#This Row],[EST SHIFT]],5))+12/24,"hh:mm") &amp; " - " &amp; TEXT(TIMEVALUE(RIGHT(Table2[[#This Row],[EST SHIFT]],5))+12/24,"hh:mm")</f>
        <v>22:00 - 09:00</v>
      </c>
      <c r="P28" s="44">
        <f t="shared" si="1"/>
        <v>0</v>
      </c>
    </row>
    <row r="29" spans="1:16">
      <c r="A29" s="44" t="str">
        <f>Table2[[#This Row],[Name]]</f>
        <v>Elijah Jeremy Racca</v>
      </c>
      <c r="B29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22:00 - 09:00</v>
      </c>
      <c r="C29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22:00 - 09:00</v>
      </c>
      <c r="D29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29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22:00 - 09:00</v>
      </c>
      <c r="F29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29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29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29" s="44" t="str">
        <f t="shared" si="2"/>
        <v>Wed - Sat - Sun</v>
      </c>
      <c r="J29" s="45">
        <f>MOD(Table2[[#This Row],[Break 1]]+TIME(12,0,0),1)</f>
        <v>3.125E-2</v>
      </c>
      <c r="K29" s="45">
        <f>MOD(Table2[[#This Row],[Break 2]]+TIME(12,0,0),1)</f>
        <v>0.11458333333333326</v>
      </c>
      <c r="L29" s="45">
        <f>MOD(Table2[[#This Row],[Lunch]]+TIME(12,0,0),1)</f>
        <v>0.20833333333333326</v>
      </c>
      <c r="M29" s="45">
        <f>MOD(Table2[[#This Row],[Break 3]]+TIME(12,0,0),1)</f>
        <v>0.29166666666666652</v>
      </c>
      <c r="N29" s="44" t="str">
        <f>Table2[[#This Row],[Supervisor]]</f>
        <v>Anmecha Valencia</v>
      </c>
      <c r="O29" s="44" t="str">
        <f>TEXT(TIMEVALUE(LEFT(Table2[[#This Row],[EST SHIFT]],5))+12/24,"hh:mm") &amp; " - " &amp; TEXT(TIMEVALUE(RIGHT(Table2[[#This Row],[EST SHIFT]],5))+12/24,"hh:mm")</f>
        <v>22:00 - 09:00</v>
      </c>
      <c r="P29" s="44">
        <f t="shared" si="1"/>
        <v>0</v>
      </c>
    </row>
    <row r="30" spans="1:16">
      <c r="A30" s="44" t="str">
        <f>Table2[[#This Row],[Name]]</f>
        <v>Joshua Mendoza</v>
      </c>
      <c r="B30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22:00 - 09:00</v>
      </c>
      <c r="C30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22:00 - 09:00</v>
      </c>
      <c r="D30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22:00 - 09:00</v>
      </c>
      <c r="E30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30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30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30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30" s="44" t="str">
        <f t="shared" si="2"/>
        <v>Thu - Sat - Sun</v>
      </c>
      <c r="J30" s="45">
        <f>MOD(Table2[[#This Row],[Break 1]]+TIME(12,0,0),1)</f>
        <v>0</v>
      </c>
      <c r="K30" s="45">
        <f>MOD(Table2[[#This Row],[Break 2]]+TIME(12,0,0),1)</f>
        <v>9.375E-2</v>
      </c>
      <c r="L30" s="45">
        <f>MOD(Table2[[#This Row],[Lunch]]+TIME(12,0,0),1)</f>
        <v>0.16666666666666652</v>
      </c>
      <c r="M30" s="45">
        <f>MOD(Table2[[#This Row],[Break 3]]+TIME(12,0,0),1)</f>
        <v>0.3125</v>
      </c>
      <c r="N30" s="44" t="str">
        <f>Table2[[#This Row],[Supervisor]]</f>
        <v>Anmecha Valencia</v>
      </c>
      <c r="O30" s="44" t="str">
        <f>TEXT(TIMEVALUE(LEFT(Table2[[#This Row],[EST SHIFT]],5))+12/24,"hh:mm") &amp; " - " &amp; TEXT(TIMEVALUE(RIGHT(Table2[[#This Row],[EST SHIFT]],5))+12/24,"hh:mm")</f>
        <v>22:00 - 09:00</v>
      </c>
      <c r="P30" s="44">
        <f t="shared" si="1"/>
        <v>0</v>
      </c>
    </row>
    <row r="31" spans="1:16">
      <c r="A31" s="44" t="str">
        <f>Table2[[#This Row],[Name]]</f>
        <v>Lee Joseph Agbanlog</v>
      </c>
      <c r="B31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22:00 - 09:00</v>
      </c>
      <c r="C31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22:00 - 09:00</v>
      </c>
      <c r="D31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31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22:00 - 09:00</v>
      </c>
      <c r="F31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31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31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31" s="44" t="str">
        <f t="shared" si="2"/>
        <v>Wed - Sat - Sun</v>
      </c>
      <c r="J31" s="45">
        <f>MOD(Table2[[#This Row],[Break 1]]+TIME(12,0,0),1)</f>
        <v>3.125E-2</v>
      </c>
      <c r="K31" s="45">
        <f>MOD(Table2[[#This Row],[Break 2]]+TIME(12,0,0),1)</f>
        <v>0.23958333333333326</v>
      </c>
      <c r="L31" s="45">
        <f>MOD(Table2[[#This Row],[Lunch]]+TIME(12,0,0),1)</f>
        <v>0.11458333333333326</v>
      </c>
      <c r="M31" s="45">
        <f>MOD(Table2[[#This Row],[Break 3]]+TIME(12,0,0),1)</f>
        <v>0.32291666666666652</v>
      </c>
      <c r="N31" s="44" t="str">
        <f>Table2[[#This Row],[Supervisor]]</f>
        <v>Michael Dominguez</v>
      </c>
      <c r="O31" s="44" t="str">
        <f>TEXT(TIMEVALUE(LEFT(Table2[[#This Row],[EST SHIFT]],5))+12/24,"hh:mm") &amp; " - " &amp; TEXT(TIMEVALUE(RIGHT(Table2[[#This Row],[EST SHIFT]],5))+12/24,"hh:mm")</f>
        <v>22:00 - 09:00</v>
      </c>
      <c r="P31" s="44">
        <f t="shared" si="1"/>
        <v>0</v>
      </c>
    </row>
    <row r="32" spans="1:16">
      <c r="A32" s="44" t="str">
        <f>Table2[[#This Row],[Name]]</f>
        <v>Lovelyn Nicole Magcuyao</v>
      </c>
      <c r="B32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22:00 - 09:00</v>
      </c>
      <c r="C32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22:00 - 09:00</v>
      </c>
      <c r="D32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22:00 - 09:00</v>
      </c>
      <c r="E32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22:00 - 09:00</v>
      </c>
      <c r="F32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32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32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32" s="44" t="str">
        <f t="shared" si="2"/>
        <v>Fri - Sat - Sun</v>
      </c>
      <c r="J32" s="45">
        <f>MOD(Table2[[#This Row],[Break 1]]+TIME(12,0,0),1)</f>
        <v>0</v>
      </c>
      <c r="K32" s="45">
        <f>MOD(Table2[[#This Row],[Break 2]]+TIME(12,0,0),1)</f>
        <v>0.21875</v>
      </c>
      <c r="L32" s="45">
        <f>MOD(Table2[[#This Row],[Lunch]]+TIME(12,0,0),1)</f>
        <v>9.375E-2</v>
      </c>
      <c r="M32" s="45">
        <f>MOD(Table2[[#This Row],[Break 3]]+TIME(12,0,0),1)</f>
        <v>0.3125</v>
      </c>
      <c r="N32" s="44" t="str">
        <f>Table2[[#This Row],[Supervisor]]</f>
        <v>Anmecha Valencia</v>
      </c>
      <c r="O32" s="44" t="str">
        <f>TEXT(TIMEVALUE(LEFT(Table2[[#This Row],[EST SHIFT]],5))+12/24,"hh:mm") &amp; " - " &amp; TEXT(TIMEVALUE(RIGHT(Table2[[#This Row],[EST SHIFT]],5))+12/24,"hh:mm")</f>
        <v>22:00 - 09:00</v>
      </c>
      <c r="P32" s="44">
        <f t="shared" si="1"/>
        <v>0</v>
      </c>
    </row>
    <row r="33" spans="1:16">
      <c r="A33" s="44" t="str">
        <f>Table2[[#This Row],[Name]]</f>
        <v>Marielle Dakila</v>
      </c>
      <c r="B33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22:00 - 09:00</v>
      </c>
      <c r="C33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22:00 - 09:00</v>
      </c>
      <c r="D33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33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22:00 - 09:00</v>
      </c>
      <c r="F33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33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33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33" s="44" t="str">
        <f t="shared" si="2"/>
        <v>Wed - Sat - Sun</v>
      </c>
      <c r="J33" s="45">
        <f>MOD(Table2[[#This Row],[Break 1]]+TIME(12,0,0),1)</f>
        <v>2.0833333333333481E-2</v>
      </c>
      <c r="K33" s="45">
        <f>MOD(Table2[[#This Row],[Break 2]]+TIME(12,0,0),1)</f>
        <v>0.21875</v>
      </c>
      <c r="L33" s="45">
        <f>MOD(Table2[[#This Row],[Lunch]]+TIME(12,0,0),1)</f>
        <v>0.11458333333333326</v>
      </c>
      <c r="M33" s="45">
        <f>MOD(Table2[[#This Row],[Break 3]]+TIME(12,0,0),1)</f>
        <v>0.32291666666666652</v>
      </c>
      <c r="N33" s="44" t="str">
        <f>Table2[[#This Row],[Supervisor]]</f>
        <v>Remmo Panaligan</v>
      </c>
      <c r="O33" s="44" t="str">
        <f>TEXT(TIMEVALUE(LEFT(Table2[[#This Row],[EST SHIFT]],5))+12/24,"hh:mm") &amp; " - " &amp; TEXT(TIMEVALUE(RIGHT(Table2[[#This Row],[EST SHIFT]],5))+12/24,"hh:mm")</f>
        <v>22:00 - 09:00</v>
      </c>
      <c r="P33" s="44">
        <f t="shared" si="1"/>
        <v>0</v>
      </c>
    </row>
    <row r="34" spans="1:16">
      <c r="A34" s="44" t="str">
        <f>Table2[[#This Row],[Name]]</f>
        <v>Michelle Corbeta</v>
      </c>
      <c r="B34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22:00 - 09:00</v>
      </c>
      <c r="C34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34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34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34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34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22:00 - 09:00</v>
      </c>
      <c r="H34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22:00 - 09:00</v>
      </c>
      <c r="I34" s="44" t="str">
        <f t="shared" si="2"/>
        <v>Tue - Wed - Thu</v>
      </c>
      <c r="J34" s="45">
        <f>MOD(Table2[[#This Row],[Break 1]]+TIME(12,0,0),1)</f>
        <v>1.0416666666666519E-2</v>
      </c>
      <c r="K34" s="45">
        <f>MOD(Table2[[#This Row],[Break 2]]+TIME(12,0,0),1)</f>
        <v>0.10416666666666652</v>
      </c>
      <c r="L34" s="45">
        <f>MOD(Table2[[#This Row],[Lunch]]+TIME(12,0,0),1)</f>
        <v>0.16666666666666652</v>
      </c>
      <c r="M34" s="45">
        <f>MOD(Table2[[#This Row],[Break 3]]+TIME(12,0,0),1)</f>
        <v>0.3125</v>
      </c>
      <c r="N34" s="44" t="str">
        <f>Table2[[#This Row],[Supervisor]]</f>
        <v>Christopher Rodas</v>
      </c>
      <c r="O34" s="44" t="str">
        <f>TEXT(TIMEVALUE(LEFT(Table2[[#This Row],[EST SHIFT]],5))+12/24,"hh:mm") &amp; " - " &amp; TEXT(TIMEVALUE(RIGHT(Table2[[#This Row],[EST SHIFT]],5))+12/24,"hh:mm")</f>
        <v>22:00 - 09:00</v>
      </c>
      <c r="P34" s="44">
        <f t="shared" si="1"/>
        <v>0</v>
      </c>
    </row>
    <row r="35" spans="1:16">
      <c r="A35" s="44" t="str">
        <f>Table2[[#This Row],[Name]]</f>
        <v>Patricia Gilan Villas</v>
      </c>
      <c r="B35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22:00 - 09:00</v>
      </c>
      <c r="C35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35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35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35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35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22:00 - 09:00</v>
      </c>
      <c r="H35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22:00 - 09:00</v>
      </c>
      <c r="I35" s="44" t="str">
        <f t="shared" si="2"/>
        <v>Tue - Wed - Thu</v>
      </c>
      <c r="J35" s="45">
        <f>MOD(Table2[[#This Row],[Break 1]]+TIME(12,0,0),1)</f>
        <v>0.98958333333333337</v>
      </c>
      <c r="K35" s="45">
        <f>MOD(Table2[[#This Row],[Break 2]]+TIME(12,0,0),1)</f>
        <v>0.19791666666666652</v>
      </c>
      <c r="L35" s="45">
        <f>MOD(Table2[[#This Row],[Lunch]]+TIME(12,0,0),1)</f>
        <v>6.25E-2</v>
      </c>
      <c r="M35" s="45">
        <f>MOD(Table2[[#This Row],[Break 3]]+TIME(12,0,0),1)</f>
        <v>0.30208333333333326</v>
      </c>
      <c r="N35" s="44" t="str">
        <f>Table2[[#This Row],[Supervisor]]</f>
        <v>Anmecha Valencia</v>
      </c>
      <c r="O35" s="44" t="str">
        <f>TEXT(TIMEVALUE(LEFT(Table2[[#This Row],[EST SHIFT]],5))+12/24,"hh:mm") &amp; " - " &amp; TEXT(TIMEVALUE(RIGHT(Table2[[#This Row],[EST SHIFT]],5))+12/24,"hh:mm")</f>
        <v>22:00 - 09:00</v>
      </c>
      <c r="P35" s="44">
        <f t="shared" si="1"/>
        <v>0</v>
      </c>
    </row>
    <row r="36" spans="1:16">
      <c r="A36" s="44" t="str">
        <f>Table2[[#This Row],[Name]]</f>
        <v>Samantha Yvonne Dela Costa</v>
      </c>
      <c r="B36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22:00 - 09:00</v>
      </c>
      <c r="C36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22:00 - 09:00</v>
      </c>
      <c r="D36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22:00 - 09:00</v>
      </c>
      <c r="E36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36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36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36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36" s="44" t="str">
        <f t="shared" si="2"/>
        <v>Thu - Sat - Sun</v>
      </c>
      <c r="J36" s="45">
        <f>MOD(Table2[[#This Row],[Break 1]]+TIME(12,0,0),1)</f>
        <v>3.125E-2</v>
      </c>
      <c r="K36" s="45">
        <f>MOD(Table2[[#This Row],[Break 2]]+TIME(12,0,0),1)</f>
        <v>0.27083333333333326</v>
      </c>
      <c r="L36" s="45">
        <f>MOD(Table2[[#This Row],[Lunch]]+TIME(12,0,0),1)</f>
        <v>0.14583333333333326</v>
      </c>
      <c r="M36" s="45">
        <f>MOD(Table2[[#This Row],[Break 3]]+TIME(12,0,0),1)</f>
        <v>0.35416666666666652</v>
      </c>
      <c r="N36" s="44" t="str">
        <f>Table2[[#This Row],[Supervisor]]</f>
        <v>Anmecha Valencia</v>
      </c>
      <c r="O36" s="44" t="str">
        <f>TEXT(TIMEVALUE(LEFT(Table2[[#This Row],[EST SHIFT]],5))+12/24,"hh:mm") &amp; " - " &amp; TEXT(TIMEVALUE(RIGHT(Table2[[#This Row],[EST SHIFT]],5))+12/24,"hh:mm")</f>
        <v>22:00 - 09:00</v>
      </c>
      <c r="P36" s="44">
        <f t="shared" si="1"/>
        <v>0</v>
      </c>
    </row>
    <row r="37" spans="1:16">
      <c r="A37" s="44" t="str">
        <f>Table2[[#This Row],[Name]]</f>
        <v>James Kim Malatag</v>
      </c>
      <c r="B37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23:00 - 10:00</v>
      </c>
      <c r="C37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23:00 - 10:00</v>
      </c>
      <c r="D37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23:00 - 10:00</v>
      </c>
      <c r="E37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23:00 - 10:00</v>
      </c>
      <c r="F37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37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37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37" s="44" t="str">
        <f t="shared" ref="I37:I59" si="3">_xlfn.TEXTJOIN(" - ",TRUE,
IF(B37="OFF","Mon",""),
IF(C37="OFF","Tue",""),
IF(D37="OFF","Wed",""),
IF(E37="OFF","Thu",""),
IF(F37="OFF","Fri",""),
IF(G37="OFF","Sat",""),
IF(H37="OFF","Sun",""))</f>
        <v>Fri - Sat - Sun</v>
      </c>
      <c r="J37" s="45">
        <f>MOD(Table2[[#This Row],[Break 1]]+TIME(12,0,0),1)</f>
        <v>5.2083333333333259E-2</v>
      </c>
      <c r="K37" s="45">
        <f>MOD(Table2[[#This Row],[Break 2]]+TIME(12,0,0),1)</f>
        <v>0.13541666666666652</v>
      </c>
      <c r="L37" s="45">
        <f>MOD(Table2[[#This Row],[Lunch]]+TIME(12,0,0),1)</f>
        <v>0.22916666666666652</v>
      </c>
      <c r="M37" s="45">
        <f>MOD(Table2[[#This Row],[Break 3]]+TIME(12,0,0),1)</f>
        <v>0.35416666666666652</v>
      </c>
      <c r="N37" s="44" t="str">
        <f>Table2[[#This Row],[Supervisor]]</f>
        <v>Michael Dominguez</v>
      </c>
      <c r="O37" s="44" t="str">
        <f>TEXT(TIMEVALUE(LEFT(Table2[[#This Row],[EST SHIFT]],5))+12/24,"hh:mm") &amp; " - " &amp; TEXT(TIMEVALUE(RIGHT(Table2[[#This Row],[EST SHIFT]],5))+12/24,"hh:mm")</f>
        <v>23:00 - 10:00</v>
      </c>
      <c r="P37" s="44">
        <f t="shared" si="1"/>
        <v>0</v>
      </c>
    </row>
    <row r="38" spans="1:16">
      <c r="A38" s="44" t="str">
        <f>Table2[[#This Row],[Name]]</f>
        <v>Sam Supnet</v>
      </c>
      <c r="B38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23:30 - 10:30</v>
      </c>
      <c r="C38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23:30 - 10:30</v>
      </c>
      <c r="D38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38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38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38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23:30 - 10:30</v>
      </c>
      <c r="H38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23:30 - 10:30</v>
      </c>
      <c r="I38" s="44" t="str">
        <f t="shared" si="3"/>
        <v>Wed - Thu - Fri</v>
      </c>
      <c r="J38" s="45">
        <f>MOD(Table2[[#This Row],[Break 1]]+TIME(12,0,0),1)</f>
        <v>7.2916666666666519E-2</v>
      </c>
      <c r="K38" s="45">
        <f>MOD(Table2[[#This Row],[Break 2]]+TIME(12,0,0),1)</f>
        <v>0.30208333333333326</v>
      </c>
      <c r="L38" s="45">
        <f>MOD(Table2[[#This Row],[Lunch]]+TIME(12,0,0),1)</f>
        <v>0.1875</v>
      </c>
      <c r="M38" s="45">
        <f>MOD(Table2[[#This Row],[Break 3]]+TIME(12,0,0),1)</f>
        <v>0.41666666666666652</v>
      </c>
      <c r="N38" s="44" t="str">
        <f>Table2[[#This Row],[Supervisor]]</f>
        <v>Michael Dominguez</v>
      </c>
      <c r="O38" s="44" t="str">
        <f>TEXT(TIMEVALUE(LEFT(Table2[[#This Row],[EST SHIFT]],5))+12/24,"hh:mm") &amp; " - " &amp; TEXT(TIMEVALUE(RIGHT(Table2[[#This Row],[EST SHIFT]],5))+12/24,"hh:mm")</f>
        <v>23:30 - 10:30</v>
      </c>
      <c r="P38" s="44">
        <f t="shared" si="1"/>
        <v>0</v>
      </c>
    </row>
    <row r="39" spans="1:16">
      <c r="A39" s="44" t="str">
        <f>Table2[[#This Row],[Name]]</f>
        <v>Dharlyn Grej Estillore</v>
      </c>
      <c r="B39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39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00:00 - 11:00</v>
      </c>
      <c r="D39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00:00 - 11:00</v>
      </c>
      <c r="E39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00:00 - 11:00</v>
      </c>
      <c r="F39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00:00 - 11:00</v>
      </c>
      <c r="G39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39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39" s="44" t="str">
        <f t="shared" si="3"/>
        <v>Mon - Sat - Sun</v>
      </c>
      <c r="J39" s="45">
        <f>MOD(Table2[[#This Row],[Break 1]]+TIME(12,0,0),1)</f>
        <v>8.3333333333333259E-2</v>
      </c>
      <c r="K39" s="45">
        <f>MOD(Table2[[#This Row],[Break 2]]+TIME(12,0,0),1)</f>
        <v>0.17708333333333326</v>
      </c>
      <c r="L39" s="45">
        <f>MOD(Table2[[#This Row],[Lunch]]+TIME(12,0,0),1)</f>
        <v>0.27083333333333326</v>
      </c>
      <c r="M39" s="45">
        <f>MOD(Table2[[#This Row],[Break 3]]+TIME(12,0,0),1)</f>
        <v>0.39583333333333326</v>
      </c>
      <c r="N39" s="44" t="str">
        <f>Table2[[#This Row],[Supervisor]]</f>
        <v>Anmecha Valencia</v>
      </c>
      <c r="O39" s="44" t="str">
        <f>TEXT(TIMEVALUE(LEFT(Table2[[#This Row],[EST SHIFT]],5))+12/24,"hh:mm") &amp; " - " &amp; TEXT(TIMEVALUE(RIGHT(Table2[[#This Row],[EST SHIFT]],5))+12/24,"hh:mm")</f>
        <v>00:00 - 11:00</v>
      </c>
      <c r="P39" s="44">
        <f t="shared" si="1"/>
        <v>1</v>
      </c>
    </row>
    <row r="40" spans="1:16">
      <c r="A40" s="44" t="str">
        <f>Table2[[#This Row],[Name]]</f>
        <v>Jayson Pescadero</v>
      </c>
      <c r="B40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40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00:00 - 11:00</v>
      </c>
      <c r="D40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00:00 - 11:00</v>
      </c>
      <c r="E40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00:00 - 11:00</v>
      </c>
      <c r="F40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00:00 - 11:00</v>
      </c>
      <c r="G40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40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40" s="44" t="str">
        <f t="shared" si="3"/>
        <v>Mon - Sat - Sun</v>
      </c>
      <c r="J40" s="45">
        <f>MOD(Table2[[#This Row],[Break 1]]+TIME(12,0,0),1)</f>
        <v>8.3333333333333259E-2</v>
      </c>
      <c r="K40" s="45">
        <f>MOD(Table2[[#This Row],[Break 2]]+TIME(12,0,0),1)</f>
        <v>0.30208333333333326</v>
      </c>
      <c r="L40" s="45">
        <f>MOD(Table2[[#This Row],[Lunch]]+TIME(12,0,0),1)</f>
        <v>0.17708333333333326</v>
      </c>
      <c r="M40" s="45">
        <f>MOD(Table2[[#This Row],[Break 3]]+TIME(12,0,0),1)</f>
        <v>0.40625</v>
      </c>
      <c r="N40" s="44" t="str">
        <f>Table2[[#This Row],[Supervisor]]</f>
        <v>Remmo Panaligan</v>
      </c>
      <c r="O40" s="44" t="str">
        <f>TEXT(TIMEVALUE(LEFT(Table2[[#This Row],[EST SHIFT]],5))+12/24,"hh:mm") &amp; " - " &amp; TEXT(TIMEVALUE(RIGHT(Table2[[#This Row],[EST SHIFT]],5))+12/24,"hh:mm")</f>
        <v>00:00 - 11:00</v>
      </c>
      <c r="P40" s="44">
        <f t="shared" si="1"/>
        <v>1</v>
      </c>
    </row>
    <row r="41" spans="1:16">
      <c r="A41" s="44" t="str">
        <f>Table2[[#This Row],[Name]]</f>
        <v>Alec Christian Palabay</v>
      </c>
      <c r="B41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02:00 - 13:00</v>
      </c>
      <c r="C41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02:00 - 13:00</v>
      </c>
      <c r="D41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02:00 - 13:00</v>
      </c>
      <c r="E41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02:00 - 13:00</v>
      </c>
      <c r="F41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41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41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41" s="44" t="str">
        <f t="shared" si="3"/>
        <v>Fri - Sat - Sun</v>
      </c>
      <c r="J41" s="45">
        <f>MOD(Table2[[#This Row],[Break 1]]+TIME(12,0,0),1)</f>
        <v>0.15625</v>
      </c>
      <c r="K41" s="45">
        <f>MOD(Table2[[#This Row],[Break 2]]+TIME(12,0,0),1)</f>
        <v>0.35416666666666652</v>
      </c>
      <c r="L41" s="45">
        <f>MOD(Table2[[#This Row],[Lunch]]+TIME(12,0,0),1)</f>
        <v>0.22916666666666652</v>
      </c>
      <c r="M41" s="45">
        <f>MOD(Table2[[#This Row],[Break 3]]+TIME(12,0,0),1)</f>
        <v>0.45833333333333326</v>
      </c>
      <c r="N41" s="44" t="str">
        <f>Table2[[#This Row],[Supervisor]]</f>
        <v>Remmo Panaligan</v>
      </c>
      <c r="O41" s="44" t="str">
        <f>TEXT(TIMEVALUE(LEFT(Table2[[#This Row],[EST SHIFT]],5))+12/24,"hh:mm") &amp; " - " &amp; TEXT(TIMEVALUE(RIGHT(Table2[[#This Row],[EST SHIFT]],5))+12/24,"hh:mm")</f>
        <v>02:00 - 13:00</v>
      </c>
      <c r="P41" s="44">
        <f t="shared" si="1"/>
        <v>1</v>
      </c>
    </row>
    <row r="42" spans="1:16">
      <c r="A42" s="44" t="str">
        <f>Table2[[#This Row],[Name]]</f>
        <v>Josephraim Lamoste</v>
      </c>
      <c r="B42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42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02:00 - 13:00</v>
      </c>
      <c r="D42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02:00 - 13:00</v>
      </c>
      <c r="E42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02:00 - 13:00</v>
      </c>
      <c r="F42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02:00 - 13:00</v>
      </c>
      <c r="G42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42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42" s="44" t="str">
        <f t="shared" si="3"/>
        <v>Mon - Sat - Sun</v>
      </c>
      <c r="J42" s="45">
        <f>MOD(Table2[[#This Row],[Break 1]]+TIME(12,0,0),1)</f>
        <v>0.16666666666666652</v>
      </c>
      <c r="K42" s="45">
        <f>MOD(Table2[[#This Row],[Break 2]]+TIME(12,0,0),1)</f>
        <v>0.41666666666666652</v>
      </c>
      <c r="L42" s="45">
        <f>MOD(Table2[[#This Row],[Lunch]]+TIME(12,0,0),1)</f>
        <v>0.29166666666666652</v>
      </c>
      <c r="M42" s="45">
        <f>MOD(Table2[[#This Row],[Break 3]]+TIME(12,0,0),1)</f>
        <v>0.52083333333333326</v>
      </c>
      <c r="N42" s="44" t="str">
        <f>Table2[[#This Row],[Supervisor]]</f>
        <v>Manilyn Abellar</v>
      </c>
      <c r="O42" s="44" t="str">
        <f>TEXT(TIMEVALUE(LEFT(Table2[[#This Row],[EST SHIFT]],5))+12/24,"hh:mm") &amp; " - " &amp; TEXT(TIMEVALUE(RIGHT(Table2[[#This Row],[EST SHIFT]],5))+12/24,"hh:mm")</f>
        <v>02:00 - 13:00</v>
      </c>
      <c r="P42" s="44">
        <f t="shared" si="1"/>
        <v>1</v>
      </c>
    </row>
    <row r="43" spans="1:16">
      <c r="A43" s="44" t="str">
        <f>Table2[[#This Row],[Name]]</f>
        <v>Carlos Kiamco</v>
      </c>
      <c r="B43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06:00 - 17:00</v>
      </c>
      <c r="C43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06:00 - 17:00</v>
      </c>
      <c r="D43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06:00 - 17:00</v>
      </c>
      <c r="E43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06:00 - 17:00</v>
      </c>
      <c r="F43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43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43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43" s="44" t="str">
        <f t="shared" si="3"/>
        <v>Fri - Sat - Sun</v>
      </c>
      <c r="J43" s="45">
        <f>MOD(Table2[[#This Row],[Break 1]]+TIME(12,0,0),1)</f>
        <v>0.33333333333333326</v>
      </c>
      <c r="K43" s="45">
        <f>MOD(Table2[[#This Row],[Break 2]]+TIME(12,0,0),1)</f>
        <v>0.5625</v>
      </c>
      <c r="L43" s="45">
        <f>MOD(Table2[[#This Row],[Lunch]]+TIME(12,0,0),1)</f>
        <v>0.41666666666666652</v>
      </c>
      <c r="M43" s="45">
        <f>MOD(Table2[[#This Row],[Break 3]]+TIME(12,0,0),1)</f>
        <v>0.65625</v>
      </c>
      <c r="N43" s="44" t="str">
        <f>Table2[[#This Row],[Supervisor]]</f>
        <v>Christopher Rodas</v>
      </c>
      <c r="O43" s="44" t="str">
        <f>TEXT(TIMEVALUE(LEFT(Table2[[#This Row],[EST SHIFT]],5))+12/24,"hh:mm") &amp; " - " &amp; TEXT(TIMEVALUE(RIGHT(Table2[[#This Row],[EST SHIFT]],5))+12/24,"hh:mm")</f>
        <v>06:00 - 17:00</v>
      </c>
      <c r="P43" s="44">
        <f t="shared" si="1"/>
        <v>1</v>
      </c>
    </row>
    <row r="44" spans="1:16">
      <c r="A44" s="44" t="str">
        <f>Table2[[#This Row],[Name]]</f>
        <v>France Bajao</v>
      </c>
      <c r="B44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07:00 - 18:00</v>
      </c>
      <c r="C44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07:00 - 18:00</v>
      </c>
      <c r="D44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07:00 - 18:00</v>
      </c>
      <c r="E44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44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44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07:00 - 18:00</v>
      </c>
      <c r="H44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44" s="44" t="str">
        <f t="shared" si="3"/>
        <v>Thu - Fri - Sun</v>
      </c>
      <c r="J44" s="45">
        <f>MOD(Table2[[#This Row],[Break 1]]+TIME(12,0,0),1)</f>
        <v>0.4375</v>
      </c>
      <c r="K44" s="45">
        <f>MOD(Table2[[#This Row],[Break 2]]+TIME(12,0,0),1)</f>
        <v>0.64583333333333337</v>
      </c>
      <c r="L44" s="45">
        <f>MOD(Table2[[#This Row],[Lunch]]+TIME(12,0,0),1)</f>
        <v>0.52083333333333326</v>
      </c>
      <c r="M44" s="45">
        <f>MOD(Table2[[#This Row],[Break 3]]+TIME(12,0,0),1)</f>
        <v>0.72916666666666663</v>
      </c>
      <c r="N44" s="44" t="str">
        <f>Table2[[#This Row],[Supervisor]]</f>
        <v>Christopher Rodas</v>
      </c>
      <c r="O44" s="44" t="str">
        <f>TEXT(TIMEVALUE(LEFT(Table2[[#This Row],[EST SHIFT]],5))+12/24,"hh:mm") &amp; " - " &amp; TEXT(TIMEVALUE(RIGHT(Table2[[#This Row],[EST SHIFT]],5))+12/24,"hh:mm")</f>
        <v>07:00 - 18:00</v>
      </c>
      <c r="P44" s="44">
        <f t="shared" si="1"/>
        <v>1</v>
      </c>
    </row>
    <row r="45" spans="1:16">
      <c r="A45" s="44" t="str">
        <f>Table2[[#This Row],[Name]]</f>
        <v>Jieleen Villegas</v>
      </c>
      <c r="B45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10:00 - 21:00</v>
      </c>
      <c r="C45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10:00 - 21:00</v>
      </c>
      <c r="D45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10:00 - 21:00</v>
      </c>
      <c r="E45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45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45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45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10:00 - 21:00</v>
      </c>
      <c r="I45" s="44" t="str">
        <f t="shared" si="3"/>
        <v>Thu - Fri - Sat</v>
      </c>
      <c r="J45" s="45">
        <f>MOD(Table2[[#This Row],[Break 1]]+TIME(12,0,0),1)</f>
        <v>0.5</v>
      </c>
      <c r="K45" s="45">
        <f>MOD(Table2[[#This Row],[Break 2]]+TIME(12,0,0),1)</f>
        <v>0.60416666666666663</v>
      </c>
      <c r="L45" s="45">
        <f>MOD(Table2[[#This Row],[Lunch]]+TIME(12,0,0),1)</f>
        <v>0.70833333333333326</v>
      </c>
      <c r="M45" s="45">
        <f>MOD(Table2[[#This Row],[Break 3]]+TIME(12,0,0),1)</f>
        <v>0.83333333333333337</v>
      </c>
      <c r="N45" s="44" t="str">
        <f>Table2[[#This Row],[Supervisor]]</f>
        <v>Anmecha Valencia</v>
      </c>
      <c r="O45" s="44" t="str">
        <f>TEXT(TIMEVALUE(LEFT(Table2[[#This Row],[EST SHIFT]],5))+12/24,"hh:mm") &amp; " - " &amp; TEXT(TIMEVALUE(RIGHT(Table2[[#This Row],[EST SHIFT]],5))+12/24,"hh:mm")</f>
        <v>10:00 - 21:00</v>
      </c>
      <c r="P45" s="44">
        <f t="shared" si="1"/>
        <v>1</v>
      </c>
    </row>
    <row r="46" spans="1:16">
      <c r="A46" s="44" t="str">
        <f>Table2[[#This Row],[Name]]</f>
        <v>Joseph Brian Nagor</v>
      </c>
      <c r="B46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10:00 - 21:00</v>
      </c>
      <c r="C46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10:00 - 21:00</v>
      </c>
      <c r="D46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46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46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10:00 - 21:00</v>
      </c>
      <c r="G46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10:00 - 21:00</v>
      </c>
      <c r="H46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46" s="44" t="str">
        <f t="shared" si="3"/>
        <v>Wed - Thu - Sun</v>
      </c>
      <c r="J46" s="45">
        <f>MOD(Table2[[#This Row],[Break 1]]+TIME(12,0,0),1)</f>
        <v>0.66666666666666663</v>
      </c>
      <c r="K46" s="45">
        <f>MOD(Table2[[#This Row],[Break 2]]+TIME(12,0,0),1)</f>
        <v>0.76041666666666674</v>
      </c>
      <c r="L46" s="45">
        <f>MOD(Table2[[#This Row],[Lunch]]+TIME(12,0,0),1)</f>
        <v>0.54166666666666663</v>
      </c>
      <c r="M46" s="45">
        <f>MOD(Table2[[#This Row],[Break 3]]+TIME(12,0,0),1)</f>
        <v>0.83333333333333337</v>
      </c>
      <c r="N46" s="44" t="str">
        <f>Table2[[#This Row],[Supervisor]]</f>
        <v>Remmo Panaligan</v>
      </c>
      <c r="O46" s="44" t="str">
        <f>TEXT(TIMEVALUE(LEFT(Table2[[#This Row],[EST SHIFT]],5))+12/24,"hh:mm") &amp; " - " &amp; TEXT(TIMEVALUE(RIGHT(Table2[[#This Row],[EST SHIFT]],5))+12/24,"hh:mm")</f>
        <v>10:00 - 21:00</v>
      </c>
      <c r="P46" s="44">
        <f t="shared" si="1"/>
        <v>1</v>
      </c>
    </row>
    <row r="47" spans="1:16">
      <c r="A47" s="44" t="str">
        <f>Table2[[#This Row],[Name]]</f>
        <v>Jesse Owen Rama</v>
      </c>
      <c r="B47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47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11:00 - 22:00</v>
      </c>
      <c r="D47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11:00 - 22:00</v>
      </c>
      <c r="E47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47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11:00 - 22:00</v>
      </c>
      <c r="G47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11:00 - 22:00</v>
      </c>
      <c r="H47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47" s="44" t="str">
        <f t="shared" si="3"/>
        <v>Mon - Thu - Sun</v>
      </c>
      <c r="J47" s="45">
        <f>MOD(Table2[[#This Row],[Break 1]]+TIME(12,0,0),1)</f>
        <v>0.70833333333333326</v>
      </c>
      <c r="K47" s="45">
        <f>MOD(Table2[[#This Row],[Break 2]]+TIME(12,0,0),1)</f>
        <v>0.80208333333333337</v>
      </c>
      <c r="L47" s="45">
        <f>MOD(Table2[[#This Row],[Lunch]]+TIME(12,0,0),1)</f>
        <v>0.58333333333333337</v>
      </c>
      <c r="M47" s="45">
        <f>MOD(Table2[[#This Row],[Break 3]]+TIME(12,0,0),1)</f>
        <v>0.875</v>
      </c>
      <c r="N47" s="44" t="str">
        <f>Table2[[#This Row],[Supervisor]]</f>
        <v>Manilyn Abellar</v>
      </c>
      <c r="O47" s="44" t="str">
        <f>TEXT(TIMEVALUE(LEFT(Table2[[#This Row],[EST SHIFT]],5))+12/24,"hh:mm") &amp; " - " &amp; TEXT(TIMEVALUE(RIGHT(Table2[[#This Row],[EST SHIFT]],5))+12/24,"hh:mm")</f>
        <v>11:00 - 22:00</v>
      </c>
      <c r="P47" s="44">
        <f t="shared" si="1"/>
        <v>1</v>
      </c>
    </row>
    <row r="48" spans="1:16">
      <c r="A48" s="44" t="str">
        <f>Table2[[#This Row],[Name]]</f>
        <v>Mary Joy Delos Santos</v>
      </c>
      <c r="B48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48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11:00 - 22:00</v>
      </c>
      <c r="D48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11:00 - 22:00</v>
      </c>
      <c r="E48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11:00 - 22:00</v>
      </c>
      <c r="F48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11:00 - 22:00</v>
      </c>
      <c r="G48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48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48" s="44" t="str">
        <f t="shared" si="3"/>
        <v>Mon - Sat - Sun</v>
      </c>
      <c r="J48" s="45">
        <f>MOD(Table2[[#This Row],[Break 1]]+TIME(12,0,0),1)</f>
        <v>0.54166666666666663</v>
      </c>
      <c r="K48" s="45">
        <f>MOD(Table2[[#This Row],[Break 2]]+TIME(12,0,0),1)</f>
        <v>0.73958333333333326</v>
      </c>
      <c r="L48" s="45">
        <f>MOD(Table2[[#This Row],[Lunch]]+TIME(12,0,0),1)</f>
        <v>0.63541666666666663</v>
      </c>
      <c r="M48" s="45">
        <f>MOD(Table2[[#This Row],[Break 3]]+TIME(12,0,0),1)</f>
        <v>0.84375</v>
      </c>
      <c r="N48" s="44" t="str">
        <f>Table2[[#This Row],[Supervisor]]</f>
        <v>Manilyn Abellar</v>
      </c>
      <c r="O48" s="44" t="str">
        <f>TEXT(TIMEVALUE(LEFT(Table2[[#This Row],[EST SHIFT]],5))+12/24,"hh:mm") &amp; " - " &amp; TEXT(TIMEVALUE(RIGHT(Table2[[#This Row],[EST SHIFT]],5))+12/24,"hh:mm")</f>
        <v>11:00 - 22:00</v>
      </c>
      <c r="P48" s="44">
        <f t="shared" si="1"/>
        <v>1</v>
      </c>
    </row>
    <row r="49" spans="1:16">
      <c r="A49" s="44" t="str">
        <f>Table2[[#This Row],[Name]]</f>
        <v>Kathleen Melecio</v>
      </c>
      <c r="B49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49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11:30 - 22:30</v>
      </c>
      <c r="D49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11:30 - 22:30</v>
      </c>
      <c r="E49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11:30 - 22:30</v>
      </c>
      <c r="F49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OFF</v>
      </c>
      <c r="G49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49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11:30 - 22:30</v>
      </c>
      <c r="I49" s="44" t="str">
        <f t="shared" si="3"/>
        <v>Mon - Fri - Sat</v>
      </c>
      <c r="J49" s="45">
        <f>MOD(Table2[[#This Row],[Break 1]]+TIME(12,0,0),1)</f>
        <v>0.59375</v>
      </c>
      <c r="K49" s="45">
        <f>MOD(Table2[[#This Row],[Break 2]]+TIME(12,0,0),1)</f>
        <v>0.8125</v>
      </c>
      <c r="L49" s="45">
        <f>MOD(Table2[[#This Row],[Lunch]]+TIME(12,0,0),1)</f>
        <v>0.66666666666666663</v>
      </c>
      <c r="M49" s="45">
        <f>MOD(Table2[[#This Row],[Break 3]]+TIME(12,0,0),1)</f>
        <v>0.89583333333333337</v>
      </c>
      <c r="N49" s="44" t="str">
        <f>Table2[[#This Row],[Supervisor]]</f>
        <v>Christopher Rodas</v>
      </c>
      <c r="O49" s="44" t="str">
        <f>TEXT(TIMEVALUE(LEFT(Table2[[#This Row],[EST SHIFT]],5))+12/24,"hh:mm") &amp; " - " &amp; TEXT(TIMEVALUE(RIGHT(Table2[[#This Row],[EST SHIFT]],5))+12/24,"hh:mm")</f>
        <v>11:30 - 22:30</v>
      </c>
      <c r="P49" s="44">
        <f t="shared" si="1"/>
        <v>1</v>
      </c>
    </row>
    <row r="50" spans="1:16">
      <c r="A50" s="44" t="str">
        <f>Table2[[#This Row],[Name]]</f>
        <v>Joanah Carl Anoling</v>
      </c>
      <c r="B50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50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50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13:00 - 00:00</v>
      </c>
      <c r="E50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13:00 - 00:00</v>
      </c>
      <c r="F50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13:00 - 00:00</v>
      </c>
      <c r="G50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13:00 - 00:00</v>
      </c>
      <c r="H50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50" s="44" t="str">
        <f t="shared" si="3"/>
        <v>Mon - Tue - Sun</v>
      </c>
      <c r="J50" s="45">
        <f>MOD(Table2[[#This Row],[Break 1]]+TIME(12,0,0),1)</f>
        <v>0.88541666666666674</v>
      </c>
      <c r="K50" s="45">
        <f>MOD(Table2[[#This Row],[Break 2]]+TIME(12,0,0),1)</f>
        <v>0.70833333333333326</v>
      </c>
      <c r="L50" s="45">
        <f>MOD(Table2[[#This Row],[Lunch]]+TIME(12,0,0),1)</f>
        <v>0.77083333333333326</v>
      </c>
      <c r="M50" s="45">
        <f>MOD(Table2[[#This Row],[Break 3]]+TIME(12,0,0),1)</f>
        <v>0.96875</v>
      </c>
      <c r="N50" s="44" t="str">
        <f>Table2[[#This Row],[Supervisor]]</f>
        <v>Manilyn Abellar</v>
      </c>
      <c r="O50" s="44" t="str">
        <f>TEXT(TIMEVALUE(LEFT(Table2[[#This Row],[EST SHIFT]],5))+12/24,"hh:mm") &amp; " - " &amp; TEXT(TIMEVALUE(RIGHT(Table2[[#This Row],[EST SHIFT]],5))+12/24,"hh:mm")</f>
        <v>13:00 - 00:00</v>
      </c>
      <c r="P50" s="44">
        <f t="shared" si="1"/>
        <v>0</v>
      </c>
    </row>
    <row r="51" spans="1:16">
      <c r="A51" s="44" t="str">
        <f>Table2[[#This Row],[Name]]</f>
        <v>Cynthia Anosa</v>
      </c>
      <c r="B51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51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17:00 - 04:00</v>
      </c>
      <c r="D51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17:00 - 04:00</v>
      </c>
      <c r="E51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17:00 - 04:00</v>
      </c>
      <c r="F51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17:00 - 04:00</v>
      </c>
      <c r="G51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51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51" s="44" t="str">
        <f t="shared" si="3"/>
        <v>Mon - Sat - Sun</v>
      </c>
      <c r="J51" s="45">
        <f>MOD(Table2[[#This Row],[Break 1]]+TIME(12,0,0),1)</f>
        <v>0.78125</v>
      </c>
      <c r="K51" s="45">
        <f>MOD(Table2[[#This Row],[Break 2]]+TIME(12,0,0),1)</f>
        <v>6.25E-2</v>
      </c>
      <c r="L51" s="45">
        <f>MOD(Table2[[#This Row],[Lunch]]+TIME(12,0,0),1)</f>
        <v>0.89583333333333337</v>
      </c>
      <c r="M51" s="45">
        <f>MOD(Table2[[#This Row],[Break 3]]+TIME(12,0,0),1)</f>
        <v>0.125</v>
      </c>
      <c r="N51" s="44" t="str">
        <f>Table2[[#This Row],[Supervisor]]</f>
        <v>Manilyn Abellar</v>
      </c>
      <c r="O51" s="44" t="str">
        <f>TEXT(TIMEVALUE(LEFT(Table2[[#This Row],[EST SHIFT]],5))+12/24,"hh:mm") &amp; " - " &amp; TEXT(TIMEVALUE(RIGHT(Table2[[#This Row],[EST SHIFT]],5))+12/24,"hh:mm")</f>
        <v>17:00 - 04:00</v>
      </c>
      <c r="P51" s="44">
        <f t="shared" si="1"/>
        <v>0</v>
      </c>
    </row>
    <row r="52" spans="1:16">
      <c r="A52" s="44" t="str">
        <f>Table2[[#This Row],[Name]]</f>
        <v>Jhonrey Jotojot</v>
      </c>
      <c r="B52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52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18:00 - 05:00</v>
      </c>
      <c r="D52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18:00 - 05:00</v>
      </c>
      <c r="E52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18:00 - 05:00</v>
      </c>
      <c r="F52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18:00 - 05:00</v>
      </c>
      <c r="G52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52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52" s="44" t="str">
        <f t="shared" si="3"/>
        <v>Mon - Sat - Sun</v>
      </c>
      <c r="J52" s="45">
        <f>MOD(Table2[[#This Row],[Break 1]]+TIME(12,0,0),1)</f>
        <v>0.84375</v>
      </c>
      <c r="K52" s="45">
        <f>MOD(Table2[[#This Row],[Break 2]]+TIME(12,0,0),1)</f>
        <v>1.0416666666666519E-2</v>
      </c>
      <c r="L52" s="45">
        <f>MOD(Table2[[#This Row],[Lunch]]+TIME(12,0,0),1)</f>
        <v>0.92708333333333337</v>
      </c>
      <c r="M52" s="45">
        <f>MOD(Table2[[#This Row],[Break 3]]+TIME(12,0,0),1)</f>
        <v>0.125</v>
      </c>
      <c r="N52" s="44" t="str">
        <f>Table2[[#This Row],[Supervisor]]</f>
        <v>Manilyn Abellar</v>
      </c>
      <c r="O52" s="44" t="str">
        <f>TEXT(TIMEVALUE(LEFT(Table2[[#This Row],[EST SHIFT]],5))+12/24,"hh:mm") &amp; " - " &amp; TEXT(TIMEVALUE(RIGHT(Table2[[#This Row],[EST SHIFT]],5))+12/24,"hh:mm")</f>
        <v>18:00 - 05:00</v>
      </c>
      <c r="P52" s="44">
        <f t="shared" si="1"/>
        <v>0</v>
      </c>
    </row>
    <row r="53" spans="1:16">
      <c r="A53" s="44" t="str">
        <f>Table2[[#This Row],[Name]]</f>
        <v>Joshua Bagaporo</v>
      </c>
      <c r="B53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53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53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19:00 - 06:00</v>
      </c>
      <c r="E53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19:00 - 06:00</v>
      </c>
      <c r="F53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19:00 - 06:00</v>
      </c>
      <c r="G53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19:00 - 06:00</v>
      </c>
      <c r="H53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53" s="44" t="str">
        <f t="shared" si="3"/>
        <v>Mon - Tue - Sun</v>
      </c>
      <c r="J53" s="45">
        <f>MOD(Table2[[#This Row],[Break 1]]+TIME(12,0,0),1)</f>
        <v>0.88541666666666674</v>
      </c>
      <c r="K53" s="45">
        <f>MOD(Table2[[#This Row],[Break 2]]+TIME(12,0,0),1)</f>
        <v>7.2916666666666519E-2</v>
      </c>
      <c r="L53" s="45">
        <f>MOD(Table2[[#This Row],[Lunch]]+TIME(12,0,0),1)</f>
        <v>0.95833333333333337</v>
      </c>
      <c r="M53" s="45">
        <f>MOD(Table2[[#This Row],[Break 3]]+TIME(12,0,0),1)</f>
        <v>0.16666666666666652</v>
      </c>
      <c r="N53" s="44" t="str">
        <f>Table2[[#This Row],[Supervisor]]</f>
        <v>Christopher Rodas</v>
      </c>
      <c r="O53" s="44" t="str">
        <f>TEXT(TIMEVALUE(LEFT(Table2[[#This Row],[EST SHIFT]],5))+12/24,"hh:mm") &amp; " - " &amp; TEXT(TIMEVALUE(RIGHT(Table2[[#This Row],[EST SHIFT]],5))+12/24,"hh:mm")</f>
        <v>19:00 - 06:00</v>
      </c>
      <c r="P53" s="44">
        <f t="shared" si="1"/>
        <v>0</v>
      </c>
    </row>
    <row r="54" spans="1:16">
      <c r="A54" s="44" t="str">
        <f>Table2[[#This Row],[Name]]</f>
        <v>Pat Marlou Tanola</v>
      </c>
      <c r="B54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54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20:00 - 07:00</v>
      </c>
      <c r="D54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20:00 - 07:00</v>
      </c>
      <c r="E54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20:00 - 07:00</v>
      </c>
      <c r="F54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20:00 - 07:00</v>
      </c>
      <c r="G54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54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54" s="44" t="str">
        <f t="shared" si="3"/>
        <v>Mon - Sat - Sun</v>
      </c>
      <c r="J54" s="45">
        <f>MOD(Table2[[#This Row],[Break 1]]+TIME(12,0,0),1)</f>
        <v>0.91666666666666674</v>
      </c>
      <c r="K54" s="45">
        <f>MOD(Table2[[#This Row],[Break 2]]+TIME(12,0,0),1)</f>
        <v>0.125</v>
      </c>
      <c r="L54" s="45">
        <f>MOD(Table2[[#This Row],[Lunch]]+TIME(12,0,0),1)</f>
        <v>0</v>
      </c>
      <c r="M54" s="45">
        <f>MOD(Table2[[#This Row],[Break 3]]+TIME(12,0,0),1)</f>
        <v>0.20833333333333326</v>
      </c>
      <c r="N54" s="44" t="str">
        <f>Table2[[#This Row],[Supervisor]]</f>
        <v>Christopher Rodas</v>
      </c>
      <c r="O54" s="44" t="str">
        <f>TEXT(TIMEVALUE(LEFT(Table2[[#This Row],[EST SHIFT]],5))+12/24,"hh:mm") &amp; " - " &amp; TEXT(TIMEVALUE(RIGHT(Table2[[#This Row],[EST SHIFT]],5))+12/24,"hh:mm")</f>
        <v>20:00 - 07:00</v>
      </c>
      <c r="P54" s="44">
        <f t="shared" si="1"/>
        <v>0</v>
      </c>
    </row>
    <row r="55" spans="1:16">
      <c r="A55" s="44" t="str">
        <f>Table2[[#This Row],[Name]]</f>
        <v>Sean Gabriel Ramirez</v>
      </c>
      <c r="B55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55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20:00 - 07:00</v>
      </c>
      <c r="D55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20:00 - 07:00</v>
      </c>
      <c r="E55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20:00 - 07:00</v>
      </c>
      <c r="F55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20:00 - 07:00</v>
      </c>
      <c r="G55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55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55" s="44" t="str">
        <f t="shared" si="3"/>
        <v>Mon - Sat - Sun</v>
      </c>
      <c r="J55" s="45">
        <f>MOD(Table2[[#This Row],[Break 1]]+TIME(12,0,0),1)</f>
        <v>0.91666666666666674</v>
      </c>
      <c r="K55" s="45">
        <f>MOD(Table2[[#This Row],[Break 2]]+TIME(12,0,0),1)</f>
        <v>0.13541666666666652</v>
      </c>
      <c r="L55" s="45">
        <f>MOD(Table2[[#This Row],[Lunch]]+TIME(12,0,0),1)</f>
        <v>0</v>
      </c>
      <c r="M55" s="45">
        <f>MOD(Table2[[#This Row],[Break 3]]+TIME(12,0,0),1)</f>
        <v>0.21875</v>
      </c>
      <c r="N55" s="44" t="str">
        <f>Table2[[#This Row],[Supervisor]]</f>
        <v>Christopher Rodas</v>
      </c>
      <c r="O55" s="44" t="str">
        <f>TEXT(TIMEVALUE(LEFT(Table2[[#This Row],[EST SHIFT]],5))+12/24,"hh:mm") &amp; " - " &amp; TEXT(TIMEVALUE(RIGHT(Table2[[#This Row],[EST SHIFT]],5))+12/24,"hh:mm")</f>
        <v>20:00 - 07:00</v>
      </c>
      <c r="P55" s="44">
        <f t="shared" si="1"/>
        <v>0</v>
      </c>
    </row>
    <row r="56" spans="1:16">
      <c r="A56" s="44" t="str">
        <f>Table2[[#This Row],[Name]]</f>
        <v>Azilean Khrista Almazan</v>
      </c>
      <c r="B56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56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56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22:00 - 09:00</v>
      </c>
      <c r="E56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22:00 - 09:00</v>
      </c>
      <c r="F56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56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22:00 - 09:00</v>
      </c>
      <c r="H56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56" s="44" t="str">
        <f t="shared" si="3"/>
        <v>Mon - Tue - Sun</v>
      </c>
      <c r="J56" s="45">
        <f>MOD(Table2[[#This Row],[Break 1]]+TIME(12,0,0),1)</f>
        <v>0</v>
      </c>
      <c r="K56" s="45">
        <f>MOD(Table2[[#This Row],[Break 2]]+TIME(12,0,0),1)</f>
        <v>9.375E-2</v>
      </c>
      <c r="L56" s="45">
        <f>MOD(Table2[[#This Row],[Lunch]]+TIME(12,0,0),1)</f>
        <v>0.22916666666666652</v>
      </c>
      <c r="M56" s="45">
        <f>MOD(Table2[[#This Row],[Break 3]]+TIME(12,0,0),1)</f>
        <v>0.32291666666666652</v>
      </c>
      <c r="N56" s="44" t="str">
        <f>Table2[[#This Row],[Supervisor]]</f>
        <v>Anmecha Valencia</v>
      </c>
      <c r="O56" s="44" t="str">
        <f>TEXT(TIMEVALUE(LEFT(Table2[[#This Row],[EST SHIFT]],5))+12/24,"hh:mm") &amp; " - " &amp; TEXT(TIMEVALUE(RIGHT(Table2[[#This Row],[EST SHIFT]],5))+12/24,"hh:mm")</f>
        <v>22:00 - 09:00</v>
      </c>
      <c r="P56" s="44">
        <f t="shared" si="1"/>
        <v>0</v>
      </c>
    </row>
    <row r="57" spans="1:16">
      <c r="A57" s="44" t="str">
        <f>Table2[[#This Row],[Name]]</f>
        <v>Christian Lajera</v>
      </c>
      <c r="B57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57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22:00 - 09:00</v>
      </c>
      <c r="D57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22:00 - 09:00</v>
      </c>
      <c r="E57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22:00 - 09:00</v>
      </c>
      <c r="F57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57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57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57" s="44" t="str">
        <f t="shared" si="3"/>
        <v>Mon - Sat - Sun</v>
      </c>
      <c r="J57" s="45">
        <f>MOD(Table2[[#This Row],[Break 1]]+TIME(12,0,0),1)</f>
        <v>0</v>
      </c>
      <c r="K57" s="45">
        <f>MOD(Table2[[#This Row],[Break 2]]+TIME(12,0,0),1)</f>
        <v>8.3333333333333259E-2</v>
      </c>
      <c r="L57" s="45">
        <f>MOD(Table2[[#This Row],[Lunch]]+TIME(12,0,0),1)</f>
        <v>0.1875</v>
      </c>
      <c r="M57" s="45">
        <f>MOD(Table2[[#This Row],[Break 3]]+TIME(12,0,0),1)</f>
        <v>0.30208333333333326</v>
      </c>
      <c r="N57" s="44" t="str">
        <f>Table2[[#This Row],[Supervisor]]</f>
        <v>Michael Dominguez</v>
      </c>
      <c r="O57" s="44" t="str">
        <f>TEXT(TIMEVALUE(LEFT(Table2[[#This Row],[EST SHIFT]],5))+12/24,"hh:mm") &amp; " - " &amp; TEXT(TIMEVALUE(RIGHT(Table2[[#This Row],[EST SHIFT]],5))+12/24,"hh:mm")</f>
        <v>22:00 - 09:00</v>
      </c>
      <c r="P57" s="44">
        <f t="shared" si="1"/>
        <v>0</v>
      </c>
    </row>
    <row r="58" spans="1:16">
      <c r="A58" s="44" t="str">
        <f>Table2[[#This Row],[Name]]</f>
        <v>Marjon Gaebrielle Albay</v>
      </c>
      <c r="B58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58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22:00 - 09:00</v>
      </c>
      <c r="D58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22:00 - 09:00</v>
      </c>
      <c r="E58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22:00 - 09:00</v>
      </c>
      <c r="F58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58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OFF</v>
      </c>
      <c r="H58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58" s="44" t="str">
        <f t="shared" si="3"/>
        <v>Mon - Sat - Sun</v>
      </c>
      <c r="J58" s="45">
        <f>MOD(Table2[[#This Row],[Break 1]]+TIME(12,0,0),1)</f>
        <v>1.0416666666666519E-2</v>
      </c>
      <c r="K58" s="45">
        <f>MOD(Table2[[#This Row],[Break 2]]+TIME(12,0,0),1)</f>
        <v>0.10416666666666652</v>
      </c>
      <c r="L58" s="45">
        <f>MOD(Table2[[#This Row],[Lunch]]+TIME(12,0,0),1)</f>
        <v>0.16666666666666652</v>
      </c>
      <c r="M58" s="45">
        <f>MOD(Table2[[#This Row],[Break 3]]+TIME(12,0,0),1)</f>
        <v>0.32291666666666652</v>
      </c>
      <c r="N58" s="44" t="str">
        <f>Table2[[#This Row],[Supervisor]]</f>
        <v>Michael Dominguez</v>
      </c>
      <c r="O58" s="44" t="str">
        <f>TEXT(TIMEVALUE(LEFT(Table2[[#This Row],[EST SHIFT]],5))+12/24,"hh:mm") &amp; " - " &amp; TEXT(TIMEVALUE(RIGHT(Table2[[#This Row],[EST SHIFT]],5))+12/24,"hh:mm")</f>
        <v>22:00 - 09:00</v>
      </c>
      <c r="P58" s="44">
        <f t="shared" si="1"/>
        <v>0</v>
      </c>
    </row>
    <row r="59" spans="1:16">
      <c r="A59" s="44" t="str">
        <f>Table2[[#This Row],[Name]]</f>
        <v>Rona Rotchel Moniva</v>
      </c>
      <c r="B59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59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59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22:00 - 09:00</v>
      </c>
      <c r="E59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22:00 - 09:00</v>
      </c>
      <c r="F59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22:00 - 09:00</v>
      </c>
      <c r="G59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22:00 - 09:00</v>
      </c>
      <c r="H59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59" s="44" t="str">
        <f t="shared" si="3"/>
        <v>Mon - Tue - Sun</v>
      </c>
      <c r="J59" s="45">
        <f>MOD(Table2[[#This Row],[Break 1]]+TIME(12,0,0),1)</f>
        <v>1.0416666666666519E-2</v>
      </c>
      <c r="K59" s="45">
        <f>MOD(Table2[[#This Row],[Break 2]]+TIME(12,0,0),1)</f>
        <v>0.27083333333333326</v>
      </c>
      <c r="L59" s="45">
        <f>MOD(Table2[[#This Row],[Lunch]]+TIME(12,0,0),1)</f>
        <v>0.10416666666666652</v>
      </c>
      <c r="M59" s="45">
        <f>MOD(Table2[[#This Row],[Break 3]]+TIME(12,0,0),1)</f>
        <v>0.33333333333333326</v>
      </c>
      <c r="N59" s="44" t="str">
        <f>Table2[[#This Row],[Supervisor]]</f>
        <v>Manilyn Abellar</v>
      </c>
      <c r="O59" s="44" t="str">
        <f>TEXT(TIMEVALUE(LEFT(Table2[[#This Row],[EST SHIFT]],5))+12/24,"hh:mm") &amp; " - " &amp; TEXT(TIMEVALUE(RIGHT(Table2[[#This Row],[EST SHIFT]],5))+12/24,"hh:mm")</f>
        <v>22:00 - 09:00</v>
      </c>
      <c r="P59" s="44">
        <f t="shared" si="1"/>
        <v>0</v>
      </c>
    </row>
    <row r="60" spans="1:16">
      <c r="A60" s="44" t="str">
        <f>Table2[[#This Row],[Name]]</f>
        <v>Mhar Anthony Juezan</v>
      </c>
      <c r="B60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60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60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60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23:00 - 10:00</v>
      </c>
      <c r="F60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23:00 - 10:00</v>
      </c>
      <c r="G60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23:00 - 10:00</v>
      </c>
      <c r="H60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23:00 - 10:00</v>
      </c>
      <c r="I60" s="44" t="str">
        <f t="shared" si="0"/>
        <v>Mon - Tue - Wed</v>
      </c>
      <c r="J60" s="45">
        <f>MOD(Table2[[#This Row],[Break 1]]+TIME(12,0,0),1)</f>
        <v>4.1666666666666519E-2</v>
      </c>
      <c r="K60" s="45">
        <f>MOD(Table2[[#This Row],[Break 2]]+TIME(12,0,0),1)</f>
        <v>0.27083333333333326</v>
      </c>
      <c r="L60" s="45">
        <f>MOD(Table2[[#This Row],[Lunch]]+TIME(12,0,0),1)</f>
        <v>0.14583333333333326</v>
      </c>
      <c r="M60" s="45">
        <f>MOD(Table2[[#This Row],[Break 3]]+TIME(12,0,0),1)</f>
        <v>0.36458333333333326</v>
      </c>
      <c r="N60" s="44" t="str">
        <f>Table2[[#This Row],[Supervisor]]</f>
        <v>Christopher Rodas</v>
      </c>
      <c r="O60" s="44" t="str">
        <f>TEXT(TIMEVALUE(LEFT(Table2[[#This Row],[EST SHIFT]],5))+12/24,"hh:mm") &amp; " - " &amp; TEXT(TIMEVALUE(RIGHT(Table2[[#This Row],[EST SHIFT]],5))+12/24,"hh:mm")</f>
        <v>23:00 - 10:00</v>
      </c>
      <c r="P60" s="44">
        <f t="shared" si="1"/>
        <v>0</v>
      </c>
    </row>
    <row r="61" spans="1:16">
      <c r="A61" s="44" t="str">
        <f>Table2[[#This Row],[Name]]</f>
        <v>Jhanelle Jane Didato</v>
      </c>
      <c r="B61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61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61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61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01:00 - 12:00</v>
      </c>
      <c r="F61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01:00 - 12:00</v>
      </c>
      <c r="G61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01:00 - 12:00</v>
      </c>
      <c r="H61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01:00 - 12:00</v>
      </c>
      <c r="I61" s="44" t="str">
        <f t="shared" si="0"/>
        <v>Mon - Tue - Wed</v>
      </c>
      <c r="J61" s="45">
        <f>MOD(Table2[[#This Row],[Break 1]]+TIME(12,0,0),1)</f>
        <v>0.125</v>
      </c>
      <c r="K61" s="45">
        <f>MOD(Table2[[#This Row],[Break 2]]+TIME(12,0,0),1)</f>
        <v>0.35416666666666652</v>
      </c>
      <c r="L61" s="45">
        <f>MOD(Table2[[#This Row],[Lunch]]+TIME(12,0,0),1)</f>
        <v>0.21875</v>
      </c>
      <c r="M61" s="45">
        <f>MOD(Table2[[#This Row],[Break 3]]+TIME(12,0,0),1)</f>
        <v>0.45833333333333326</v>
      </c>
      <c r="N61" s="44" t="str">
        <f>Table2[[#This Row],[Supervisor]]</f>
        <v>Manilyn Abellar</v>
      </c>
      <c r="O61" s="44" t="str">
        <f>TEXT(TIMEVALUE(LEFT(Table2[[#This Row],[EST SHIFT]],5))+12/24,"hh:mm") &amp; " - " &amp; TEXT(TIMEVALUE(RIGHT(Table2[[#This Row],[EST SHIFT]],5))+12/24,"hh:mm")</f>
        <v>01:00 - 12:00</v>
      </c>
      <c r="P61" s="44">
        <f t="shared" si="1"/>
        <v>1</v>
      </c>
    </row>
    <row r="62" spans="1:16">
      <c r="A62" s="44" t="str">
        <f>Table2[[#This Row],[Name]]</f>
        <v>Erica Mae Villamor</v>
      </c>
      <c r="B62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02:00 - 13:00</v>
      </c>
      <c r="C62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62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62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62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02:00 - 13:00</v>
      </c>
      <c r="G62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02:00 - 13:00</v>
      </c>
      <c r="H62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02:00 - 13:00</v>
      </c>
      <c r="I62" s="44" t="str">
        <f t="shared" si="0"/>
        <v>Tue - Wed - Thu</v>
      </c>
      <c r="J62" s="45">
        <f>MOD(Table2[[#This Row],[Break 1]]+TIME(12,0,0),1)</f>
        <v>0.16666666666666652</v>
      </c>
      <c r="K62" s="45">
        <f>MOD(Table2[[#This Row],[Break 2]]+TIME(12,0,0),1)</f>
        <v>0.26041666666666652</v>
      </c>
      <c r="L62" s="45">
        <f>MOD(Table2[[#This Row],[Lunch]]+TIME(12,0,0),1)</f>
        <v>0.35416666666666652</v>
      </c>
      <c r="M62" s="45">
        <f>MOD(Table2[[#This Row],[Break 3]]+TIME(12,0,0),1)</f>
        <v>0.47916666666666652</v>
      </c>
      <c r="N62" s="44" t="str">
        <f>Table2[[#This Row],[Supervisor]]</f>
        <v>Christopher Rodas</v>
      </c>
      <c r="O62" s="44" t="str">
        <f>TEXT(TIMEVALUE(LEFT(Table2[[#This Row],[EST SHIFT]],5))+12/24,"hh:mm") &amp; " - " &amp; TEXT(TIMEVALUE(RIGHT(Table2[[#This Row],[EST SHIFT]],5))+12/24,"hh:mm")</f>
        <v>02:00 - 13:00</v>
      </c>
      <c r="P62" s="44">
        <f t="shared" si="1"/>
        <v>1</v>
      </c>
    </row>
    <row r="63" spans="1:16">
      <c r="A63" s="44" t="str">
        <f>Table2[[#This Row],[Name]]</f>
        <v>Kirby Santos</v>
      </c>
      <c r="B63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63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63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06:00 - 17:00</v>
      </c>
      <c r="E63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06:00 - 17:00</v>
      </c>
      <c r="F63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06:00 - 17:00</v>
      </c>
      <c r="G63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06:00 - 17:00</v>
      </c>
      <c r="H63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OFF</v>
      </c>
      <c r="I63" s="44" t="str">
        <f t="shared" si="0"/>
        <v>Mon - Tue - Sun</v>
      </c>
      <c r="J63" s="45">
        <f>MOD(Table2[[#This Row],[Break 1]]+TIME(12,0,0),1)</f>
        <v>0.35416666666666652</v>
      </c>
      <c r="K63" s="45">
        <f>MOD(Table2[[#This Row],[Break 2]]+TIME(12,0,0),1)</f>
        <v>0.54166666666666663</v>
      </c>
      <c r="L63" s="45">
        <f>MOD(Table2[[#This Row],[Lunch]]+TIME(12,0,0),1)</f>
        <v>0.44791666666666652</v>
      </c>
      <c r="M63" s="45">
        <f>MOD(Table2[[#This Row],[Break 3]]+TIME(12,0,0),1)</f>
        <v>0.64583333333333337</v>
      </c>
      <c r="N63" s="44" t="str">
        <f>Table2[[#This Row],[Supervisor]]</f>
        <v>Manilyn Abellar</v>
      </c>
      <c r="O63" s="44" t="str">
        <f>TEXT(TIMEVALUE(LEFT(Table2[[#This Row],[EST SHIFT]],5))+12/24,"hh:mm") &amp; " - " &amp; TEXT(TIMEVALUE(RIGHT(Table2[[#This Row],[EST SHIFT]],5))+12/24,"hh:mm")</f>
        <v>06:00 - 17:00</v>
      </c>
      <c r="P63" s="44">
        <f t="shared" si="1"/>
        <v>1</v>
      </c>
    </row>
    <row r="64" spans="1:16">
      <c r="A64" s="44" t="str">
        <f>Table2[[#This Row],[Name]]</f>
        <v>Manueleth Nardo</v>
      </c>
      <c r="B64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OFF</v>
      </c>
      <c r="C64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64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64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07:30 - 18:30</v>
      </c>
      <c r="F64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07:30 - 18:30</v>
      </c>
      <c r="G64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07:30 - 18:30</v>
      </c>
      <c r="H64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07:30 - 18:30</v>
      </c>
      <c r="I64" s="44" t="str">
        <f t="shared" ref="I64:I66" si="4">_xlfn.TEXTJOIN(" - ",TRUE,
IF(B64="OFF","Mon",""),
IF(C64="OFF","Tue",""),
IF(D64="OFF","Wed",""),
IF(E64="OFF","Thu",""),
IF(F64="OFF","Fri",""),
IF(G64="OFF","Sat",""),
IF(H64="OFF","Sun",""))</f>
        <v>Mon - Tue - Wed</v>
      </c>
      <c r="J64" s="45">
        <f>MOD(Table2[[#This Row],[Break 1]]+TIME(12,0,0),1)</f>
        <v>0.39583333333333326</v>
      </c>
      <c r="K64" s="45">
        <f>MOD(Table2[[#This Row],[Break 2]]+TIME(12,0,0),1)</f>
        <v>0.61458333333333337</v>
      </c>
      <c r="L64" s="45">
        <f>MOD(Table2[[#This Row],[Lunch]]+TIME(12,0,0),1)</f>
        <v>0.48958333333333326</v>
      </c>
      <c r="M64" s="45">
        <f>MOD(Table2[[#This Row],[Break 3]]+TIME(12,0,0),1)</f>
        <v>0.71875</v>
      </c>
      <c r="N64" s="44" t="str">
        <f>Table2[[#This Row],[Supervisor]]</f>
        <v>Christopher Rodas</v>
      </c>
      <c r="O64" s="44" t="str">
        <f>TEXT(TIMEVALUE(LEFT(Table2[[#This Row],[EST SHIFT]],5))+12/24,"hh:mm") &amp; " - " &amp; TEXT(TIMEVALUE(RIGHT(Table2[[#This Row],[EST SHIFT]],5))+12/24,"hh:mm")</f>
        <v>07:30 - 18:30</v>
      </c>
      <c r="P64" s="44">
        <f t="shared" si="1"/>
        <v>1</v>
      </c>
    </row>
    <row r="65" spans="1:16">
      <c r="A65" s="44" t="str">
        <f>Table2[[#This Row],[Name]]</f>
        <v>Crisma Vic Melecio</v>
      </c>
      <c r="B65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08:00 - 19:00</v>
      </c>
      <c r="C65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65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65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65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08:00 - 19:00</v>
      </c>
      <c r="G65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08:00 - 19:00</v>
      </c>
      <c r="H65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08:00 - 19:00</v>
      </c>
      <c r="I65" s="44" t="str">
        <f t="shared" si="4"/>
        <v>Tue - Wed - Thu</v>
      </c>
      <c r="J65" s="45">
        <f>MOD(Table2[[#This Row],[Break 1]]+TIME(12,0,0),1)</f>
        <v>0.41666666666666652</v>
      </c>
      <c r="K65" s="45">
        <f>MOD(Table2[[#This Row],[Break 2]]+TIME(12,0,0),1)</f>
        <v>0.5</v>
      </c>
      <c r="L65" s="45">
        <f>MOD(Table2[[#This Row],[Lunch]]+TIME(12,0,0),1)</f>
        <v>0.60416666666666663</v>
      </c>
      <c r="M65" s="45">
        <f>MOD(Table2[[#This Row],[Break 3]]+TIME(12,0,0),1)</f>
        <v>0.72916666666666663</v>
      </c>
      <c r="N65" s="44" t="str">
        <f>Table2[[#This Row],[Supervisor]]</f>
        <v>Manilyn Abellar</v>
      </c>
      <c r="O65" s="44" t="str">
        <f>TEXT(TIMEVALUE(LEFT(Table2[[#This Row],[EST SHIFT]],5))+12/24,"hh:mm") &amp; " - " &amp; TEXT(TIMEVALUE(RIGHT(Table2[[#This Row],[EST SHIFT]],5))+12/24,"hh:mm")</f>
        <v>08:00 - 19:00</v>
      </c>
      <c r="P65" s="44">
        <f t="shared" si="1"/>
        <v>1</v>
      </c>
    </row>
    <row r="66" spans="1:16">
      <c r="A66" s="44" t="str">
        <f>Table2[[#This Row],[Name]]</f>
        <v>Aysha Sagira Macalandong</v>
      </c>
      <c r="B66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09:00 - 20:00</v>
      </c>
      <c r="C66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66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66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66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09:00 - 20:00</v>
      </c>
      <c r="G66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09:00 - 20:00</v>
      </c>
      <c r="H66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09:00 - 20:00</v>
      </c>
      <c r="I66" s="44" t="str">
        <f t="shared" si="4"/>
        <v>Tue - Wed - Thu</v>
      </c>
      <c r="J66" s="45">
        <f>MOD(Table2[[#This Row],[Break 1]]+TIME(12,0,0),1)</f>
        <v>0.46875</v>
      </c>
      <c r="K66" s="45">
        <f>MOD(Table2[[#This Row],[Break 2]]+TIME(12,0,0),1)</f>
        <v>0.55208333333333337</v>
      </c>
      <c r="L66" s="45">
        <f>MOD(Table2[[#This Row],[Lunch]]+TIME(12,0,0),1)</f>
        <v>0.72916666666666663</v>
      </c>
      <c r="M66" s="45">
        <f>MOD(Table2[[#This Row],[Break 3]]+TIME(12,0,0),1)</f>
        <v>0.64583333333333337</v>
      </c>
      <c r="N66" s="44" t="str">
        <f>Table2[[#This Row],[Supervisor]]</f>
        <v>Michael Dominguez</v>
      </c>
      <c r="O66" s="44" t="str">
        <f>TEXT(TIMEVALUE(LEFT(Table2[[#This Row],[EST SHIFT]],5))+12/24,"hh:mm") &amp; " - " &amp; TEXT(TIMEVALUE(RIGHT(Table2[[#This Row],[EST SHIFT]],5))+12/24,"hh:mm")</f>
        <v>09:00 - 20:00</v>
      </c>
      <c r="P66" s="44">
        <f t="shared" si="1"/>
        <v>1</v>
      </c>
    </row>
    <row r="67" spans="1:16">
      <c r="A67" s="44" t="str">
        <f>Table2[[#This Row],[Name]]</f>
        <v>Mary Angelie Fajardo</v>
      </c>
      <c r="B67" s="44" t="str">
        <f>IFERROR(_xlfn.LET(_xlpm.s,SUBSTITUTE(IF(Table2[[#This Row],[Column1]]=1,Table2[[#This Row],[Sunday]],Table2[[#This Row],[Monday]])," ",""),IF(_xlpm.s="OFF","OFF",TEXT(MOD(TIMEVALUE(_xlfn.TEXTBEFORE(_xlpm.s,"-"))+0.5,1),"hh:mm")&amp;" - "&amp;TEXT(MOD(TIMEVALUE(_xlfn.TEXTAFTER(_xlpm.s,"-"))+0.5,1),"hh:mm"))),IF(Table2[[#This Row],[Column1]]=1,Table2[[#This Row],[Sunday]],Table2[[#This Row],[Monday]]))</f>
        <v>09:00 - 20:00</v>
      </c>
      <c r="C67" s="44" t="str">
        <f>IFERROR(_xlfn.LET(_xlpm.s,SUBSTITUTE(IF(Table2[[#This Row],[Column1]]=1,Table2[[#This Row],[Monday]],Table2[[#This Row],[Tuesday]])," ",""),IF(_xlpm.s="OFF","OFF",TEXT(MOD(TIMEVALUE(_xlfn.TEXTBEFORE(_xlpm.s,"-"))+0.5,1),"hh:mm")&amp;" - "&amp;TEXT(MOD(TIMEVALUE(_xlfn.TEXTAFTER(_xlpm.s,"-"))+0.5,1),"hh:mm"))),IF(Table2[[#This Row],[Column1]]=1,Table2[[#This Row],[Monday]],Table2[[#This Row],[Tuesday]]))</f>
        <v>OFF</v>
      </c>
      <c r="D67" s="44" t="str">
        <f>IFERROR(_xlfn.LET(_xlpm.s,SUBSTITUTE(IF(Table2[[#This Row],[Column1]]=1,Table2[[#This Row],[Tuesday]],Table2[[#This Row],[Wednesday]])," ",""),IF(_xlpm.s="OFF","OFF",TEXT(MOD(TIMEVALUE(_xlfn.TEXTBEFORE(_xlpm.s,"-"))+0.5,1),"hh:mm")&amp;" - "&amp;TEXT(MOD(TIMEVALUE(_xlfn.TEXTAFTER(_xlpm.s,"-"))+0.5,1),"hh:mm"))),IF(Table2[[#This Row],[Column1]]=1,Table2[[#This Row],[Tuesday]],Table2[[#This Row],[Wednesday]]))</f>
        <v>OFF</v>
      </c>
      <c r="E67" s="44" t="str">
        <f>IFERROR(_xlfn.LET(_xlpm.s,SUBSTITUTE(IF(Table2[[#This Row],[Column1]]=1,Table2[[#This Row],[Wednesday]],Table2[[#This Row],[Thursday]])," ",""),IF(_xlpm.s="OFF","OFF",TEXT(MOD(TIMEVALUE(_xlfn.TEXTBEFORE(_xlpm.s,"-"))+0.5,1),"hh:mm")&amp;" - "&amp;TEXT(MOD(TIMEVALUE(_xlfn.TEXTAFTER(_xlpm.s,"-"))+0.5,1),"hh:mm"))),IF(Table2[[#This Row],[Column1]]=1,Table2[[#This Row],[Wednesday]],Table2[[#This Row],[Thursday]]))</f>
        <v>OFF</v>
      </c>
      <c r="F67" s="44" t="str">
        <f>IFERROR(_xlfn.LET(_xlpm.s,SUBSTITUTE(IF(Table2[[#This Row],[Column1]]=1,Table2[[#This Row],[Thursday]],Table2[[#This Row],[Friday]])," ",""),IF(_xlpm.s="OFF","OFF",TEXT(MOD(TIMEVALUE(_xlfn.TEXTBEFORE(_xlpm.s,"-"))+0.5,1),"hh:mm")&amp;" - "&amp;TEXT(MOD(TIMEVALUE(_xlfn.TEXTAFTER(_xlpm.s,"-"))+0.5,1),"hh:mm"))),IF(Table2[[#This Row],[Column1]]=1,Table2[[#This Row],[Thursday]],Table2[[#This Row],[Friday]]))</f>
        <v>09:00 - 20:00</v>
      </c>
      <c r="G67" s="44" t="str">
        <f>IFERROR(_xlfn.LET(_xlpm.s,SUBSTITUTE(IF(Table2[[#This Row],[Column1]]=1,Table2[[#This Row],[Friday]],Table2[[#This Row],[Saturday]])," ",""),IF(_xlpm.s="OFF","OFF",TEXT(MOD(TIMEVALUE(_xlfn.TEXTBEFORE(_xlpm.s,"-"))+0.5,1),"hh:mm")&amp;" - "&amp;TEXT(MOD(TIMEVALUE(_xlfn.TEXTAFTER(_xlpm.s,"-"))+0.5,1),"hh:mm"))),IF(Table2[[#This Row],[Column1]]=1,Table2[[#This Row],[Friday]],Table2[[#This Row],[Saturday]]))</f>
        <v>09:00 - 20:00</v>
      </c>
      <c r="H67" s="44" t="str">
        <f>IFERROR(_xlfn.LET(_xlpm.s,SUBSTITUTE(IF(Table2[[#This Row],[Column1]]=1,Table2[[#This Row],[Saturday]],Table2[[#This Row],[Sunday]])," ",""),IF(_xlpm.s="OFF","OFF",TEXT(MOD(TIMEVALUE(_xlfn.TEXTBEFORE(_xlpm.s,"-"))+0.5,1),"hh:mm")&amp;" - "&amp;TEXT(MOD(TIMEVALUE(_xlfn.TEXTAFTER(_xlpm.s,"-"))+0.5,1),"hh:mm"))),IF(Table2[[#This Row],[Column1]]=1,Table2[[#This Row],[Saturday]],Table2[[#This Row],[Sunday]]))</f>
        <v>09:00 - 20:00</v>
      </c>
      <c r="I67" s="44" t="str">
        <f t="shared" ref="I67" si="5">_xlfn.TEXTJOIN(" - ",TRUE,
IF(B67="OFF","Mon",""),
IF(C67="OFF","Tue",""),
IF(D67="OFF","Wed",""),
IF(E67="OFF","Thu",""),
IF(F67="OFF","Fri",""),
IF(G67="OFF","Sat",""),
IF(H67="OFF","Sun",""))</f>
        <v>Tue - Wed - Thu</v>
      </c>
      <c r="J67" s="45">
        <f>MOD(Table2[[#This Row],[Break 1]]+TIME(12,0,0),1)</f>
        <v>0.45833333333333326</v>
      </c>
      <c r="K67" s="45">
        <f>MOD(Table2[[#This Row],[Break 2]]+TIME(12,0,0),1)</f>
        <v>0.5625</v>
      </c>
      <c r="L67" s="45">
        <f>MOD(Table2[[#This Row],[Lunch]]+TIME(12,0,0),1)</f>
        <v>0.64583333333333337</v>
      </c>
      <c r="M67" s="45">
        <f>MOD(Table2[[#This Row],[Break 3]]+TIME(12,0,0),1)</f>
        <v>0.79166666666666674</v>
      </c>
      <c r="N67" s="44" t="str">
        <f>Table2[[#This Row],[Supervisor]]</f>
        <v>Christopher Rodas</v>
      </c>
      <c r="O67" s="44" t="str">
        <f>TEXT(TIMEVALUE(LEFT(Table2[[#This Row],[EST SHIFT]],5))+12/24,"hh:mm") &amp; " - " &amp; TEXT(TIMEVALUE(RIGHT(Table2[[#This Row],[EST SHIFT]],5))+12/24,"hh:mm")</f>
        <v>09:00 - 20:00</v>
      </c>
      <c r="P67" s="44">
        <f t="shared" ref="P67" si="6">IF(TIMEVALUE(LEFT(O67,FIND("-",O67)-1))&gt;=12/24,0,1)</f>
        <v>1</v>
      </c>
    </row>
  </sheetData>
  <phoneticPr fontId="7" type="noConversion"/>
  <conditionalFormatting sqref="B2:H67">
    <cfRule type="containsText" dxfId="26" priority="1" operator="containsText" text="OFF">
      <formula>NOT(ISERROR(SEARCH("OFF",B2)))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DEFE-03A1-4491-8D17-9F4F1F26B433}">
  <dimension ref="A1:P68"/>
  <sheetViews>
    <sheetView topLeftCell="A42" workbookViewId="0">
      <selection activeCell="O2" sqref="O2:O68"/>
    </sheetView>
  </sheetViews>
  <sheetFormatPr defaultRowHeight="14.45"/>
  <cols>
    <col min="1" max="1" width="24.5703125" bestFit="1" customWidth="1"/>
    <col min="2" max="3" width="11.42578125" customWidth="1"/>
    <col min="4" max="4" width="12.5703125" customWidth="1"/>
    <col min="5" max="8" width="11.42578125" customWidth="1"/>
    <col min="9" max="9" width="14" customWidth="1"/>
    <col min="10" max="11" width="9" customWidth="1"/>
    <col min="12" max="12" width="7.7109375" customWidth="1"/>
    <col min="13" max="13" width="9" customWidth="1"/>
    <col min="14" max="14" width="17.28515625" customWidth="1"/>
    <col min="15" max="15" width="12.7109375" bestFit="1" customWidth="1"/>
    <col min="16" max="16" width="8.85546875" customWidth="1"/>
  </cols>
  <sheetData>
    <row r="1" spans="1:1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110</v>
      </c>
      <c r="P1" s="11" t="s">
        <v>15</v>
      </c>
    </row>
    <row r="2" spans="1:16">
      <c r="A2" s="13" t="s">
        <v>21</v>
      </c>
      <c r="B2" s="1"/>
      <c r="C2" s="1"/>
      <c r="D2" s="1"/>
      <c r="E2" s="1"/>
      <c r="F2" s="1"/>
      <c r="G2" s="1"/>
      <c r="H2" s="1"/>
      <c r="I2" s="2"/>
      <c r="J2" s="14"/>
      <c r="K2" s="14"/>
      <c r="L2" s="14"/>
      <c r="M2" s="14"/>
      <c r="N2" s="15" t="s">
        <v>111</v>
      </c>
      <c r="O2" s="14"/>
      <c r="P2" t="e">
        <f t="shared" ref="P2:P65" si="0">IF(O2="OFF",0,
IF(VALUE(LEFT(O2,2))&lt;12,0,1))</f>
        <v>#VALUE!</v>
      </c>
    </row>
    <row r="3" spans="1:16">
      <c r="A3" s="13" t="s">
        <v>70</v>
      </c>
      <c r="B3" s="1"/>
      <c r="C3" s="1"/>
      <c r="D3" s="1"/>
      <c r="E3" s="1"/>
      <c r="F3" s="1"/>
      <c r="G3" s="1"/>
      <c r="H3" s="1"/>
      <c r="I3" s="2"/>
      <c r="J3" s="3"/>
      <c r="K3" s="3"/>
      <c r="L3" s="3"/>
      <c r="M3" s="3"/>
      <c r="N3" s="4" t="s">
        <v>111</v>
      </c>
      <c r="O3" s="3"/>
      <c r="P3" t="e">
        <f t="shared" si="0"/>
        <v>#VALUE!</v>
      </c>
    </row>
    <row r="4" spans="1:16">
      <c r="A4" s="13" t="s">
        <v>40</v>
      </c>
      <c r="B4" s="1"/>
      <c r="C4" s="1"/>
      <c r="D4" s="1"/>
      <c r="E4" s="1"/>
      <c r="F4" s="1"/>
      <c r="G4" s="1"/>
      <c r="H4" s="1"/>
      <c r="I4" s="2"/>
      <c r="J4" s="3"/>
      <c r="K4" s="3"/>
      <c r="L4" s="3"/>
      <c r="M4" s="3"/>
      <c r="N4" s="4" t="s">
        <v>112</v>
      </c>
      <c r="O4" s="3"/>
      <c r="P4" t="e">
        <f t="shared" si="0"/>
        <v>#VALUE!</v>
      </c>
    </row>
    <row r="5" spans="1:16">
      <c r="A5" s="13" t="s">
        <v>37</v>
      </c>
      <c r="B5" s="1"/>
      <c r="C5" s="1"/>
      <c r="D5" s="1"/>
      <c r="E5" s="1"/>
      <c r="F5" s="1"/>
      <c r="G5" s="1"/>
      <c r="H5" s="1"/>
      <c r="I5" s="2"/>
      <c r="J5" s="3"/>
      <c r="K5" s="3"/>
      <c r="L5" s="3"/>
      <c r="M5" s="3"/>
      <c r="N5" s="4" t="s">
        <v>112</v>
      </c>
      <c r="O5" s="3"/>
      <c r="P5" t="e">
        <f t="shared" si="0"/>
        <v>#VALUE!</v>
      </c>
    </row>
    <row r="6" spans="1:16">
      <c r="A6" s="16" t="s">
        <v>113</v>
      </c>
      <c r="B6" s="17"/>
      <c r="C6" s="17"/>
      <c r="D6" s="17"/>
      <c r="E6" s="17"/>
      <c r="F6" s="17"/>
      <c r="G6" s="17"/>
      <c r="H6" s="17"/>
      <c r="I6" s="18"/>
      <c r="J6" s="19"/>
      <c r="K6" s="19"/>
      <c r="L6" s="19"/>
      <c r="M6" s="19"/>
      <c r="N6" s="20" t="s">
        <v>114</v>
      </c>
      <c r="O6" s="19"/>
      <c r="P6" t="e">
        <f t="shared" si="0"/>
        <v>#VALUE!</v>
      </c>
    </row>
    <row r="7" spans="1:16">
      <c r="A7" s="13" t="s">
        <v>105</v>
      </c>
      <c r="B7" s="1"/>
      <c r="C7" s="1"/>
      <c r="D7" s="1"/>
      <c r="E7" s="1"/>
      <c r="F7" s="1"/>
      <c r="G7" s="1"/>
      <c r="H7" s="1"/>
      <c r="I7" s="2"/>
      <c r="J7" s="3"/>
      <c r="K7" s="3"/>
      <c r="L7" s="3"/>
      <c r="M7" s="3"/>
      <c r="N7" s="4" t="s">
        <v>115</v>
      </c>
      <c r="O7" s="3"/>
      <c r="P7" t="e">
        <f t="shared" si="0"/>
        <v>#VALUE!</v>
      </c>
    </row>
    <row r="8" spans="1:16">
      <c r="A8" s="13" t="s">
        <v>92</v>
      </c>
      <c r="B8" s="1"/>
      <c r="C8" s="1"/>
      <c r="D8" s="1"/>
      <c r="E8" s="1"/>
      <c r="F8" s="1"/>
      <c r="G8" s="1"/>
      <c r="H8" s="1"/>
      <c r="I8" s="2"/>
      <c r="J8" s="3"/>
      <c r="K8" s="3"/>
      <c r="L8" s="3"/>
      <c r="M8" s="3"/>
      <c r="N8" s="4" t="s">
        <v>116</v>
      </c>
      <c r="O8" s="3"/>
      <c r="P8" t="e">
        <f t="shared" si="0"/>
        <v>#VALUE!</v>
      </c>
    </row>
    <row r="9" spans="1:16">
      <c r="A9" s="13" t="s">
        <v>50</v>
      </c>
      <c r="B9" s="1"/>
      <c r="C9" s="1"/>
      <c r="D9" s="1"/>
      <c r="E9" s="1"/>
      <c r="F9" s="1"/>
      <c r="G9" s="1"/>
      <c r="H9" s="1"/>
      <c r="I9" s="2"/>
      <c r="J9" s="3"/>
      <c r="K9" s="3"/>
      <c r="L9" s="3"/>
      <c r="M9" s="3"/>
      <c r="N9" s="4" t="s">
        <v>115</v>
      </c>
      <c r="O9" s="3"/>
      <c r="P9" t="e">
        <f t="shared" si="0"/>
        <v>#VALUE!</v>
      </c>
    </row>
    <row r="10" spans="1:16">
      <c r="A10" s="13" t="s">
        <v>73</v>
      </c>
      <c r="B10" s="1"/>
      <c r="C10" s="1"/>
      <c r="D10" s="1"/>
      <c r="E10" s="1"/>
      <c r="F10" s="1"/>
      <c r="G10" s="1"/>
      <c r="H10" s="1"/>
      <c r="I10" s="2"/>
      <c r="J10" s="3"/>
      <c r="K10" s="3"/>
      <c r="L10" s="3"/>
      <c r="M10" s="3"/>
      <c r="N10" s="4" t="s">
        <v>114</v>
      </c>
      <c r="O10" s="3"/>
      <c r="P10" t="e">
        <f t="shared" si="0"/>
        <v>#VALUE!</v>
      </c>
    </row>
    <row r="11" spans="1:16">
      <c r="A11" s="13" t="s">
        <v>117</v>
      </c>
      <c r="B11" s="1"/>
      <c r="C11" s="1"/>
      <c r="D11" s="1"/>
      <c r="E11" s="1"/>
      <c r="F11" s="1"/>
      <c r="G11" s="1"/>
      <c r="H11" s="1"/>
      <c r="I11" s="2"/>
      <c r="J11" s="3"/>
      <c r="K11" s="3"/>
      <c r="L11" s="3"/>
      <c r="M11" s="3"/>
      <c r="N11" s="4" t="s">
        <v>112</v>
      </c>
      <c r="O11" s="3"/>
      <c r="P11" t="e">
        <f t="shared" si="0"/>
        <v>#VALUE!</v>
      </c>
    </row>
    <row r="12" spans="1:16">
      <c r="A12" s="13" t="s">
        <v>52</v>
      </c>
      <c r="B12" s="1"/>
      <c r="C12" s="1"/>
      <c r="D12" s="1"/>
      <c r="E12" s="1"/>
      <c r="F12" s="1"/>
      <c r="G12" s="1"/>
      <c r="H12" s="1"/>
      <c r="I12" s="2"/>
      <c r="J12" s="3"/>
      <c r="K12" s="3"/>
      <c r="L12" s="3"/>
      <c r="M12" s="3"/>
      <c r="N12" s="4" t="s">
        <v>116</v>
      </c>
      <c r="O12" s="1"/>
      <c r="P12" t="e">
        <f t="shared" si="0"/>
        <v>#VALUE!</v>
      </c>
    </row>
    <row r="13" spans="1:16">
      <c r="A13" s="13" t="s">
        <v>25</v>
      </c>
      <c r="B13" s="1"/>
      <c r="C13" s="1"/>
      <c r="D13" s="1"/>
      <c r="E13" s="1"/>
      <c r="F13" s="1"/>
      <c r="G13" s="1"/>
      <c r="H13" s="1"/>
      <c r="I13" s="2"/>
      <c r="J13" s="3"/>
      <c r="K13" s="3"/>
      <c r="L13" s="3"/>
      <c r="M13" s="3"/>
      <c r="N13" s="4" t="s">
        <v>116</v>
      </c>
      <c r="O13" s="1"/>
      <c r="P13" t="e">
        <f t="shared" si="0"/>
        <v>#VALUE!</v>
      </c>
    </row>
    <row r="14" spans="1:16">
      <c r="A14" s="13" t="s">
        <v>93</v>
      </c>
      <c r="B14" s="1"/>
      <c r="C14" s="1"/>
      <c r="D14" s="1"/>
      <c r="E14" s="1"/>
      <c r="F14" s="1"/>
      <c r="G14" s="1"/>
      <c r="H14" s="1"/>
      <c r="I14" s="2"/>
      <c r="J14" s="3"/>
      <c r="K14" s="3"/>
      <c r="L14" s="3"/>
      <c r="M14" s="3"/>
      <c r="N14" s="4" t="s">
        <v>115</v>
      </c>
      <c r="O14" s="1"/>
      <c r="P14" t="e">
        <f t="shared" si="0"/>
        <v>#VALUE!</v>
      </c>
    </row>
    <row r="15" spans="1:16">
      <c r="A15" s="13" t="s">
        <v>39</v>
      </c>
      <c r="B15" s="1"/>
      <c r="C15" s="1"/>
      <c r="D15" s="1"/>
      <c r="E15" s="1"/>
      <c r="F15" s="1"/>
      <c r="G15" s="1"/>
      <c r="H15" s="1"/>
      <c r="I15" s="2"/>
      <c r="J15" s="3"/>
      <c r="K15" s="3"/>
      <c r="L15" s="3"/>
      <c r="M15" s="3"/>
      <c r="N15" s="4" t="s">
        <v>114</v>
      </c>
      <c r="O15" s="3"/>
      <c r="P15" t="e">
        <f t="shared" si="0"/>
        <v>#VALUE!</v>
      </c>
    </row>
    <row r="16" spans="1:16">
      <c r="A16" s="21" t="s">
        <v>103</v>
      </c>
      <c r="B16" s="22"/>
      <c r="C16" s="22"/>
      <c r="D16" s="22"/>
      <c r="E16" s="22"/>
      <c r="F16" s="22"/>
      <c r="G16" s="22"/>
      <c r="H16" s="22"/>
      <c r="I16" s="23"/>
      <c r="J16" s="24"/>
      <c r="K16" s="24"/>
      <c r="L16" s="24"/>
      <c r="M16" s="24"/>
      <c r="N16" s="25" t="s">
        <v>112</v>
      </c>
      <c r="O16" s="24"/>
      <c r="P16" t="e">
        <f t="shared" si="0"/>
        <v>#VALUE!</v>
      </c>
    </row>
    <row r="17" spans="1:16">
      <c r="A17" s="13" t="s">
        <v>86</v>
      </c>
      <c r="B17" s="1"/>
      <c r="C17" s="1"/>
      <c r="D17" s="1"/>
      <c r="E17" s="1"/>
      <c r="F17" s="1"/>
      <c r="G17" s="1"/>
      <c r="H17" s="1"/>
      <c r="I17" s="2"/>
      <c r="J17" s="3"/>
      <c r="K17" s="3"/>
      <c r="L17" s="3"/>
      <c r="M17" s="3"/>
      <c r="N17" s="4" t="s">
        <v>112</v>
      </c>
      <c r="O17" s="3"/>
      <c r="P17" t="e">
        <f t="shared" si="0"/>
        <v>#VALUE!</v>
      </c>
    </row>
    <row r="18" spans="1:16">
      <c r="A18" s="13" t="s">
        <v>42</v>
      </c>
      <c r="B18" s="1"/>
      <c r="C18" s="1"/>
      <c r="D18" s="1"/>
      <c r="E18" s="1"/>
      <c r="F18" s="1"/>
      <c r="G18" s="1"/>
      <c r="H18" s="1"/>
      <c r="I18" s="2"/>
      <c r="J18" s="3"/>
      <c r="K18" s="3"/>
      <c r="L18" s="3"/>
      <c r="M18" s="3"/>
      <c r="N18" s="4" t="s">
        <v>112</v>
      </c>
      <c r="O18" s="3"/>
      <c r="P18" t="e">
        <f t="shared" si="0"/>
        <v>#VALUE!</v>
      </c>
    </row>
    <row r="19" spans="1:16">
      <c r="A19" s="13" t="s">
        <v>67</v>
      </c>
      <c r="B19" s="1"/>
      <c r="C19" s="1"/>
      <c r="D19" s="1"/>
      <c r="E19" s="1"/>
      <c r="F19" s="1"/>
      <c r="G19" s="1"/>
      <c r="H19" s="1"/>
      <c r="I19" s="2"/>
      <c r="J19" s="3"/>
      <c r="K19" s="3"/>
      <c r="L19" s="3"/>
      <c r="M19" s="3"/>
      <c r="N19" s="4" t="s">
        <v>116</v>
      </c>
      <c r="O19" s="3"/>
      <c r="P19" t="e">
        <f t="shared" si="0"/>
        <v>#VALUE!</v>
      </c>
    </row>
    <row r="20" spans="1:16">
      <c r="A20" s="13" t="s">
        <v>54</v>
      </c>
      <c r="B20" s="1"/>
      <c r="C20" s="1"/>
      <c r="D20" s="1"/>
      <c r="E20" s="1"/>
      <c r="F20" s="1"/>
      <c r="G20" s="1"/>
      <c r="H20" s="1"/>
      <c r="I20" s="2"/>
      <c r="J20" s="3"/>
      <c r="K20" s="3"/>
      <c r="L20" s="3"/>
      <c r="M20" s="3"/>
      <c r="N20" s="4" t="s">
        <v>116</v>
      </c>
      <c r="O20" s="3"/>
      <c r="P20" t="e">
        <f t="shared" si="0"/>
        <v>#VALUE!</v>
      </c>
    </row>
    <row r="21" spans="1:16">
      <c r="A21" s="13" t="s">
        <v>55</v>
      </c>
      <c r="B21" s="1"/>
      <c r="C21" s="1"/>
      <c r="D21" s="1"/>
      <c r="E21" s="1"/>
      <c r="F21" s="1"/>
      <c r="G21" s="1"/>
      <c r="H21" s="1"/>
      <c r="I21" s="2"/>
      <c r="J21" s="3"/>
      <c r="K21" s="3"/>
      <c r="L21" s="3"/>
      <c r="M21" s="3"/>
      <c r="N21" s="4" t="s">
        <v>116</v>
      </c>
      <c r="O21" s="3"/>
      <c r="P21" t="e">
        <f t="shared" si="0"/>
        <v>#VALUE!</v>
      </c>
    </row>
    <row r="22" spans="1:16">
      <c r="A22" s="13" t="s">
        <v>65</v>
      </c>
      <c r="B22" s="1"/>
      <c r="C22" s="1"/>
      <c r="D22" s="1"/>
      <c r="E22" s="1"/>
      <c r="F22" s="1"/>
      <c r="G22" s="1"/>
      <c r="H22" s="1"/>
      <c r="I22" s="2"/>
      <c r="J22" s="3"/>
      <c r="K22" s="3"/>
      <c r="L22" s="3"/>
      <c r="M22" s="3"/>
      <c r="N22" s="4" t="s">
        <v>115</v>
      </c>
      <c r="O22" s="3"/>
      <c r="P22" t="e">
        <f t="shared" si="0"/>
        <v>#VALUE!</v>
      </c>
    </row>
    <row r="23" spans="1:16">
      <c r="A23" s="13" t="s">
        <v>118</v>
      </c>
      <c r="B23" s="1"/>
      <c r="C23" s="1"/>
      <c r="D23" s="1"/>
      <c r="E23" s="1"/>
      <c r="F23" s="1"/>
      <c r="G23" s="1"/>
      <c r="H23" s="1"/>
      <c r="I23" s="2"/>
      <c r="J23" s="3"/>
      <c r="K23" s="3"/>
      <c r="L23" s="3"/>
      <c r="M23" s="3"/>
      <c r="N23" s="4" t="s">
        <v>115</v>
      </c>
      <c r="O23" s="3"/>
      <c r="P23" t="e">
        <f t="shared" si="0"/>
        <v>#VALUE!</v>
      </c>
    </row>
    <row r="24" spans="1:16">
      <c r="A24" s="21" t="s">
        <v>99</v>
      </c>
      <c r="B24" s="22"/>
      <c r="C24" s="22"/>
      <c r="D24" s="22"/>
      <c r="E24" s="26"/>
      <c r="F24" s="26"/>
      <c r="G24" s="26"/>
      <c r="H24" s="26"/>
      <c r="I24" s="22"/>
      <c r="J24" s="24"/>
      <c r="K24" s="24"/>
      <c r="L24" s="24"/>
      <c r="M24" s="24"/>
      <c r="N24" s="25" t="s">
        <v>114</v>
      </c>
      <c r="O24" s="24"/>
      <c r="P24" t="e">
        <f t="shared" si="0"/>
        <v>#VALUE!</v>
      </c>
    </row>
    <row r="25" spans="1:16">
      <c r="A25" s="13" t="s">
        <v>75</v>
      </c>
      <c r="B25" s="1"/>
      <c r="C25" s="1"/>
      <c r="D25" s="1"/>
      <c r="E25" s="1"/>
      <c r="F25" s="1"/>
      <c r="G25" s="1"/>
      <c r="H25" s="1"/>
      <c r="I25" s="2"/>
      <c r="J25" s="3"/>
      <c r="K25" s="3"/>
      <c r="L25" s="3"/>
      <c r="M25" s="3"/>
      <c r="N25" s="4" t="s">
        <v>114</v>
      </c>
      <c r="O25" s="3"/>
      <c r="P25" t="e">
        <f t="shared" si="0"/>
        <v>#VALUE!</v>
      </c>
    </row>
    <row r="26" spans="1:16">
      <c r="A26" s="13" t="s">
        <v>31</v>
      </c>
      <c r="B26" s="1"/>
      <c r="C26" s="1"/>
      <c r="D26" s="1"/>
      <c r="E26" s="1"/>
      <c r="F26" s="1"/>
      <c r="G26" s="1"/>
      <c r="H26" s="1"/>
      <c r="I26" s="2"/>
      <c r="J26" s="3"/>
      <c r="K26" s="3"/>
      <c r="L26" s="3"/>
      <c r="M26" s="3"/>
      <c r="N26" s="7" t="s">
        <v>111</v>
      </c>
      <c r="O26" s="3"/>
      <c r="P26" t="e">
        <f t="shared" si="0"/>
        <v>#VALUE!</v>
      </c>
    </row>
    <row r="27" spans="1:16">
      <c r="A27" s="13" t="s">
        <v>27</v>
      </c>
      <c r="B27" s="1"/>
      <c r="C27" s="1"/>
      <c r="D27" s="1"/>
      <c r="E27" s="1"/>
      <c r="F27" s="1"/>
      <c r="G27" s="1"/>
      <c r="H27" s="1"/>
      <c r="I27" s="2"/>
      <c r="J27" s="3"/>
      <c r="K27" s="3"/>
      <c r="L27" s="3"/>
      <c r="M27" s="3"/>
      <c r="N27" s="4" t="s">
        <v>114</v>
      </c>
      <c r="O27" s="3"/>
      <c r="P27" t="e">
        <f t="shared" si="0"/>
        <v>#VALUE!</v>
      </c>
    </row>
    <row r="28" spans="1:16">
      <c r="A28" s="13" t="s">
        <v>63</v>
      </c>
      <c r="B28" s="1"/>
      <c r="C28" s="1"/>
      <c r="D28" s="1"/>
      <c r="E28" s="1"/>
      <c r="F28" s="1"/>
      <c r="G28" s="1"/>
      <c r="H28" s="1"/>
      <c r="I28" s="2"/>
      <c r="J28" s="3"/>
      <c r="K28" s="3"/>
      <c r="L28" s="3"/>
      <c r="M28" s="3"/>
      <c r="N28" s="4" t="s">
        <v>115</v>
      </c>
      <c r="O28" s="3"/>
      <c r="P28" t="e">
        <f t="shared" si="0"/>
        <v>#VALUE!</v>
      </c>
    </row>
    <row r="29" spans="1:16">
      <c r="A29" s="13" t="s">
        <v>44</v>
      </c>
      <c r="B29" s="1"/>
      <c r="C29" s="1"/>
      <c r="D29" s="1"/>
      <c r="E29" s="1"/>
      <c r="F29" s="1"/>
      <c r="G29" s="1"/>
      <c r="H29" s="1"/>
      <c r="I29" s="2"/>
      <c r="J29" s="3"/>
      <c r="K29" s="3"/>
      <c r="L29" s="3"/>
      <c r="M29" s="3"/>
      <c r="N29" s="4" t="s">
        <v>111</v>
      </c>
      <c r="O29" s="3"/>
      <c r="P29" t="e">
        <f t="shared" si="0"/>
        <v>#VALUE!</v>
      </c>
    </row>
    <row r="30" spans="1:16">
      <c r="A30" s="13" t="s">
        <v>69</v>
      </c>
      <c r="B30" s="1"/>
      <c r="C30" s="1"/>
      <c r="D30" s="1"/>
      <c r="E30" s="1"/>
      <c r="F30" s="1"/>
      <c r="G30" s="1"/>
      <c r="H30" s="1"/>
      <c r="I30" s="2"/>
      <c r="J30" s="3"/>
      <c r="K30" s="3"/>
      <c r="L30" s="3"/>
      <c r="M30" s="3"/>
      <c r="N30" s="4" t="s">
        <v>111</v>
      </c>
      <c r="O30" s="3"/>
      <c r="P30" t="e">
        <f t="shared" si="0"/>
        <v>#VALUE!</v>
      </c>
    </row>
    <row r="31" spans="1:16">
      <c r="A31" s="13" t="s">
        <v>23</v>
      </c>
      <c r="B31" s="1"/>
      <c r="C31" s="1"/>
      <c r="D31" s="1"/>
      <c r="E31" s="1"/>
      <c r="F31" s="1"/>
      <c r="G31" s="1"/>
      <c r="H31" s="1"/>
      <c r="I31" s="2"/>
      <c r="J31" s="3"/>
      <c r="K31" s="3"/>
      <c r="L31" s="3"/>
      <c r="M31" s="3"/>
      <c r="N31" s="4" t="s">
        <v>114</v>
      </c>
      <c r="O31" s="3"/>
      <c r="P31" t="e">
        <f t="shared" si="0"/>
        <v>#VALUE!</v>
      </c>
    </row>
    <row r="32" spans="1:16">
      <c r="A32" s="13" t="s">
        <v>80</v>
      </c>
      <c r="B32" s="1"/>
      <c r="C32" s="1"/>
      <c r="D32" s="1"/>
      <c r="E32" s="1"/>
      <c r="F32" s="1"/>
      <c r="G32" s="1"/>
      <c r="H32" s="1"/>
      <c r="I32" s="2"/>
      <c r="J32" s="3"/>
      <c r="K32" s="3"/>
      <c r="L32" s="3"/>
      <c r="M32" s="3"/>
      <c r="N32" s="4" t="s">
        <v>112</v>
      </c>
      <c r="O32" s="3"/>
      <c r="P32" t="e">
        <f t="shared" si="0"/>
        <v>#VALUE!</v>
      </c>
    </row>
    <row r="33" spans="1:16">
      <c r="A33" s="13" t="s">
        <v>119</v>
      </c>
      <c r="B33" s="1"/>
      <c r="C33" s="1"/>
      <c r="D33" s="1"/>
      <c r="E33" s="1"/>
      <c r="F33" s="1"/>
      <c r="G33" s="1"/>
      <c r="H33" s="1"/>
      <c r="I33" s="2"/>
      <c r="J33" s="3"/>
      <c r="K33" s="3"/>
      <c r="L33" s="3"/>
      <c r="M33" s="3"/>
      <c r="N33" s="4" t="s">
        <v>114</v>
      </c>
      <c r="O33" s="3"/>
      <c r="P33" t="e">
        <f t="shared" si="0"/>
        <v>#VALUE!</v>
      </c>
    </row>
    <row r="34" spans="1:16">
      <c r="A34" s="13" t="s">
        <v>45</v>
      </c>
      <c r="B34" s="1"/>
      <c r="C34" s="1"/>
      <c r="D34" s="1"/>
      <c r="E34" s="1"/>
      <c r="F34" s="1"/>
      <c r="G34" s="1"/>
      <c r="H34" s="1"/>
      <c r="I34" s="2"/>
      <c r="J34" s="3"/>
      <c r="K34" s="3"/>
      <c r="L34" s="3"/>
      <c r="M34" s="3"/>
      <c r="N34" s="4" t="s">
        <v>112</v>
      </c>
      <c r="O34" s="3"/>
      <c r="P34" t="e">
        <f t="shared" si="0"/>
        <v>#VALUE!</v>
      </c>
    </row>
    <row r="35" spans="1:16">
      <c r="A35" s="13" t="s">
        <v>97</v>
      </c>
      <c r="B35" s="1"/>
      <c r="C35" s="1"/>
      <c r="D35" s="1"/>
      <c r="E35" s="1"/>
      <c r="F35" s="1"/>
      <c r="G35" s="1"/>
      <c r="H35" s="1"/>
      <c r="I35" s="2"/>
      <c r="J35" s="3"/>
      <c r="K35" s="3"/>
      <c r="L35" s="3"/>
      <c r="M35" s="3"/>
      <c r="N35" s="4" t="s">
        <v>112</v>
      </c>
      <c r="O35" s="3"/>
      <c r="P35" t="e">
        <f t="shared" si="0"/>
        <v>#VALUE!</v>
      </c>
    </row>
    <row r="36" spans="1:16">
      <c r="A36" s="13" t="s">
        <v>88</v>
      </c>
      <c r="B36" s="1"/>
      <c r="C36" s="1"/>
      <c r="D36" s="1"/>
      <c r="E36" s="1"/>
      <c r="F36" s="1"/>
      <c r="G36" s="1"/>
      <c r="H36" s="1"/>
      <c r="I36" s="2"/>
      <c r="J36" s="3"/>
      <c r="K36" s="3"/>
      <c r="L36" s="3"/>
      <c r="M36" s="3"/>
      <c r="N36" s="4" t="s">
        <v>112</v>
      </c>
      <c r="O36" s="3"/>
      <c r="P36" t="e">
        <f t="shared" si="0"/>
        <v>#VALUE!</v>
      </c>
    </row>
    <row r="37" spans="1:16">
      <c r="A37" s="13" t="s">
        <v>77</v>
      </c>
      <c r="B37" s="1"/>
      <c r="C37" s="1"/>
      <c r="D37" s="1"/>
      <c r="E37" s="1"/>
      <c r="F37" s="1"/>
      <c r="G37" s="1"/>
      <c r="H37" s="1"/>
      <c r="I37" s="2"/>
      <c r="J37" s="3"/>
      <c r="K37" s="3"/>
      <c r="L37" s="3"/>
      <c r="M37" s="3"/>
      <c r="N37" s="4" t="s">
        <v>116</v>
      </c>
      <c r="O37" s="3"/>
      <c r="P37" t="e">
        <f t="shared" si="0"/>
        <v>#VALUE!</v>
      </c>
    </row>
    <row r="38" spans="1:16">
      <c r="A38" s="21" t="s">
        <v>85</v>
      </c>
      <c r="B38" s="22"/>
      <c r="C38" s="22"/>
      <c r="D38" s="22"/>
      <c r="E38" s="22"/>
      <c r="F38" s="22"/>
      <c r="G38" s="22"/>
      <c r="H38" s="22"/>
      <c r="I38" s="23"/>
      <c r="J38" s="24"/>
      <c r="K38" s="24"/>
      <c r="L38" s="24"/>
      <c r="M38" s="24"/>
      <c r="N38" s="25" t="s">
        <v>112</v>
      </c>
      <c r="O38" s="24"/>
      <c r="P38" t="e">
        <f t="shared" si="0"/>
        <v>#VALUE!</v>
      </c>
    </row>
    <row r="39" spans="1:16">
      <c r="A39" s="13" t="s">
        <v>33</v>
      </c>
      <c r="B39" s="1"/>
      <c r="C39" s="1"/>
      <c r="D39" s="1"/>
      <c r="E39" s="1"/>
      <c r="F39" s="1"/>
      <c r="G39" s="1"/>
      <c r="H39" s="1"/>
      <c r="I39" s="2"/>
      <c r="J39" s="3"/>
      <c r="K39" s="3"/>
      <c r="L39" s="3"/>
      <c r="M39" s="3"/>
      <c r="N39" s="4" t="s">
        <v>111</v>
      </c>
      <c r="O39" s="3"/>
      <c r="P39" t="e">
        <f t="shared" si="0"/>
        <v>#VALUE!</v>
      </c>
    </row>
    <row r="40" spans="1:16">
      <c r="A40" s="13" t="s">
        <v>79</v>
      </c>
      <c r="B40" s="1"/>
      <c r="C40" s="1"/>
      <c r="D40" s="1"/>
      <c r="E40" s="1"/>
      <c r="F40" s="1"/>
      <c r="G40" s="1"/>
      <c r="H40" s="1"/>
      <c r="I40" s="2"/>
      <c r="J40" s="3"/>
      <c r="K40" s="3"/>
      <c r="L40" s="3"/>
      <c r="M40" s="3"/>
      <c r="N40" s="4" t="s">
        <v>111</v>
      </c>
      <c r="O40" s="3"/>
      <c r="P40" t="e">
        <f t="shared" si="0"/>
        <v>#VALUE!</v>
      </c>
    </row>
    <row r="41" spans="1:16">
      <c r="A41" s="13" t="s">
        <v>72</v>
      </c>
      <c r="B41" s="1"/>
      <c r="C41" s="1"/>
      <c r="D41" s="1"/>
      <c r="E41" s="1"/>
      <c r="F41" s="1"/>
      <c r="G41" s="1"/>
      <c r="H41" s="1"/>
      <c r="I41" s="2"/>
      <c r="J41" s="3"/>
      <c r="K41" s="3"/>
      <c r="L41" s="3"/>
      <c r="M41" s="3"/>
      <c r="N41" s="4" t="s">
        <v>112</v>
      </c>
      <c r="O41" s="3"/>
      <c r="P41" t="e">
        <f t="shared" si="0"/>
        <v>#VALUE!</v>
      </c>
    </row>
    <row r="42" spans="1:16">
      <c r="A42" s="13" t="s">
        <v>89</v>
      </c>
      <c r="B42" s="1"/>
      <c r="C42" s="1"/>
      <c r="D42" s="1"/>
      <c r="E42" s="1"/>
      <c r="F42" s="1"/>
      <c r="G42" s="1"/>
      <c r="H42" s="1"/>
      <c r="I42" s="2"/>
      <c r="J42" s="3"/>
      <c r="K42" s="3"/>
      <c r="L42" s="3"/>
      <c r="M42" s="3"/>
      <c r="N42" s="4" t="s">
        <v>114</v>
      </c>
      <c r="O42" s="3"/>
      <c r="P42" t="e">
        <f t="shared" si="0"/>
        <v>#VALUE!</v>
      </c>
    </row>
    <row r="43" spans="1:16">
      <c r="A43" s="13" t="s">
        <v>56</v>
      </c>
      <c r="B43" s="1"/>
      <c r="C43" s="1"/>
      <c r="D43" s="1"/>
      <c r="E43" s="1"/>
      <c r="F43" s="1"/>
      <c r="G43" s="1"/>
      <c r="H43" s="1"/>
      <c r="I43" s="2"/>
      <c r="J43" s="3"/>
      <c r="K43" s="3"/>
      <c r="L43" s="3"/>
      <c r="M43" s="3"/>
      <c r="N43" s="4" t="s">
        <v>116</v>
      </c>
      <c r="O43" s="3"/>
      <c r="P43" t="e">
        <f t="shared" si="0"/>
        <v>#VALUE!</v>
      </c>
    </row>
    <row r="44" spans="1:16">
      <c r="A44" s="13" t="s">
        <v>46</v>
      </c>
      <c r="B44" s="1"/>
      <c r="C44" s="1"/>
      <c r="D44" s="1"/>
      <c r="E44" s="1"/>
      <c r="F44" s="1"/>
      <c r="G44" s="1"/>
      <c r="H44" s="1"/>
      <c r="I44" s="2"/>
      <c r="J44" s="3"/>
      <c r="K44" s="3"/>
      <c r="L44" s="3"/>
      <c r="M44" s="3"/>
      <c r="N44" s="4" t="s">
        <v>111</v>
      </c>
      <c r="O44" s="3"/>
      <c r="P44" t="e">
        <f t="shared" si="0"/>
        <v>#VALUE!</v>
      </c>
    </row>
    <row r="45" spans="1:16">
      <c r="A45" s="13" t="s">
        <v>83</v>
      </c>
      <c r="B45" s="1"/>
      <c r="C45" s="1"/>
      <c r="D45" s="1"/>
      <c r="E45" s="1"/>
      <c r="F45" s="1"/>
      <c r="G45" s="1"/>
      <c r="H45" s="1"/>
      <c r="I45" s="2"/>
      <c r="J45" s="3"/>
      <c r="K45" s="3"/>
      <c r="L45" s="3"/>
      <c r="M45" s="3"/>
      <c r="N45" s="4" t="s">
        <v>114</v>
      </c>
      <c r="O45" s="3"/>
      <c r="P45" t="e">
        <f t="shared" si="0"/>
        <v>#VALUE!</v>
      </c>
    </row>
    <row r="46" spans="1:16">
      <c r="A46" s="13" t="s">
        <v>47</v>
      </c>
      <c r="B46" s="1"/>
      <c r="C46" s="1"/>
      <c r="D46" s="1"/>
      <c r="E46" s="1"/>
      <c r="F46" s="1"/>
      <c r="G46" s="1"/>
      <c r="H46" s="1"/>
      <c r="I46" s="2"/>
      <c r="J46" s="3"/>
      <c r="K46" s="3"/>
      <c r="L46" s="3"/>
      <c r="M46" s="3"/>
      <c r="N46" s="4" t="s">
        <v>115</v>
      </c>
      <c r="O46" s="3"/>
      <c r="P46" t="e">
        <f t="shared" si="0"/>
        <v>#VALUE!</v>
      </c>
    </row>
    <row r="47" spans="1:16">
      <c r="A47" s="13" t="s">
        <v>100</v>
      </c>
      <c r="B47" s="1"/>
      <c r="C47" s="1"/>
      <c r="D47" s="1"/>
      <c r="E47" s="1"/>
      <c r="F47" s="1"/>
      <c r="G47" s="1"/>
      <c r="H47" s="1"/>
      <c r="I47" s="2"/>
      <c r="J47" s="3"/>
      <c r="K47" s="3"/>
      <c r="L47" s="3"/>
      <c r="M47" s="3"/>
      <c r="N47" s="4" t="s">
        <v>112</v>
      </c>
      <c r="O47" s="3"/>
      <c r="P47" t="e">
        <f t="shared" si="0"/>
        <v>#VALUE!</v>
      </c>
    </row>
    <row r="48" spans="1:16">
      <c r="A48" s="13" t="s">
        <v>48</v>
      </c>
      <c r="B48" s="1"/>
      <c r="C48" s="1"/>
      <c r="D48" s="1"/>
      <c r="E48" s="1"/>
      <c r="F48" s="1"/>
      <c r="G48" s="1"/>
      <c r="H48" s="1"/>
      <c r="I48" s="2"/>
      <c r="J48" s="3"/>
      <c r="K48" s="3"/>
      <c r="L48" s="3"/>
      <c r="M48" s="3"/>
      <c r="N48" s="4" t="s">
        <v>111</v>
      </c>
      <c r="O48" s="3"/>
      <c r="P48" t="e">
        <f t="shared" si="0"/>
        <v>#VALUE!</v>
      </c>
    </row>
    <row r="49" spans="1:16">
      <c r="A49" s="13" t="s">
        <v>57</v>
      </c>
      <c r="B49" s="1"/>
      <c r="C49" s="1"/>
      <c r="D49" s="1"/>
      <c r="E49" s="1"/>
      <c r="F49" s="1"/>
      <c r="G49" s="1"/>
      <c r="H49" s="1"/>
      <c r="I49" s="2"/>
      <c r="J49" s="3"/>
      <c r="K49" s="3"/>
      <c r="L49" s="3"/>
      <c r="M49" s="3"/>
      <c r="N49" s="4" t="s">
        <v>115</v>
      </c>
      <c r="O49" s="3"/>
      <c r="P49" t="e">
        <f t="shared" si="0"/>
        <v>#VALUE!</v>
      </c>
    </row>
    <row r="50" spans="1:16">
      <c r="A50" s="13" t="s">
        <v>58</v>
      </c>
      <c r="B50" s="1"/>
      <c r="C50" s="1"/>
      <c r="D50" s="1"/>
      <c r="E50" s="1"/>
      <c r="F50" s="1"/>
      <c r="G50" s="1"/>
      <c r="H50" s="1"/>
      <c r="I50" s="2"/>
      <c r="J50" s="3"/>
      <c r="K50" s="3"/>
      <c r="L50" s="3"/>
      <c r="M50" s="3"/>
      <c r="N50" s="4" t="s">
        <v>116</v>
      </c>
      <c r="O50" s="3"/>
      <c r="P50" t="e">
        <f t="shared" si="0"/>
        <v>#VALUE!</v>
      </c>
    </row>
    <row r="51" spans="1:16">
      <c r="A51" s="13" t="s">
        <v>101</v>
      </c>
      <c r="B51" s="1"/>
      <c r="C51" s="1"/>
      <c r="D51" s="1"/>
      <c r="E51" s="1"/>
      <c r="F51" s="1"/>
      <c r="G51" s="1"/>
      <c r="H51" s="1"/>
      <c r="I51" s="2"/>
      <c r="J51" s="3"/>
      <c r="K51" s="3"/>
      <c r="L51" s="3"/>
      <c r="M51" s="3"/>
      <c r="N51" s="4" t="s">
        <v>114</v>
      </c>
      <c r="O51" s="1"/>
      <c r="P51" t="e">
        <f t="shared" si="0"/>
        <v>#VALUE!</v>
      </c>
    </row>
    <row r="52" spans="1:16">
      <c r="A52" s="13" t="s">
        <v>59</v>
      </c>
      <c r="B52" s="1"/>
      <c r="C52" s="1"/>
      <c r="D52" s="1"/>
      <c r="E52" s="1"/>
      <c r="F52" s="1"/>
      <c r="G52" s="1"/>
      <c r="H52" s="1"/>
      <c r="I52" s="2"/>
      <c r="J52" s="3"/>
      <c r="K52" s="3"/>
      <c r="L52" s="3"/>
      <c r="M52" s="3"/>
      <c r="N52" s="4" t="s">
        <v>111</v>
      </c>
      <c r="O52" s="1"/>
      <c r="P52" t="e">
        <f t="shared" si="0"/>
        <v>#VALUE!</v>
      </c>
    </row>
    <row r="53" spans="1:16">
      <c r="A53" s="13" t="s">
        <v>94</v>
      </c>
      <c r="B53" s="1"/>
      <c r="C53" s="1"/>
      <c r="D53" s="1"/>
      <c r="E53" s="1"/>
      <c r="F53" s="1"/>
      <c r="G53" s="1"/>
      <c r="H53" s="1"/>
      <c r="I53" s="2"/>
      <c r="J53" s="3"/>
      <c r="K53" s="3"/>
      <c r="L53" s="3"/>
      <c r="M53" s="3"/>
      <c r="N53" s="4" t="s">
        <v>115</v>
      </c>
      <c r="O53" s="1"/>
      <c r="P53" t="e">
        <f t="shared" si="0"/>
        <v>#VALUE!</v>
      </c>
    </row>
    <row r="54" spans="1:16">
      <c r="A54" s="13" t="s">
        <v>29</v>
      </c>
      <c r="B54" s="1"/>
      <c r="C54" s="1"/>
      <c r="D54" s="1"/>
      <c r="E54" s="1"/>
      <c r="F54" s="1"/>
      <c r="G54" s="1"/>
      <c r="H54" s="1"/>
      <c r="I54" s="2"/>
      <c r="J54" s="3"/>
      <c r="K54" s="3"/>
      <c r="L54" s="3"/>
      <c r="M54" s="3"/>
      <c r="N54" s="4" t="s">
        <v>111</v>
      </c>
      <c r="O54" s="1"/>
      <c r="P54" t="e">
        <f t="shared" si="0"/>
        <v>#VALUE!</v>
      </c>
    </row>
    <row r="55" spans="1:16">
      <c r="A55" s="13" t="s">
        <v>107</v>
      </c>
      <c r="B55" s="1"/>
      <c r="C55" s="1"/>
      <c r="D55" s="1"/>
      <c r="E55" s="1"/>
      <c r="F55" s="1"/>
      <c r="G55" s="1"/>
      <c r="H55" s="1"/>
      <c r="I55" s="2"/>
      <c r="J55" s="3"/>
      <c r="K55" s="3"/>
      <c r="L55" s="3"/>
      <c r="M55" s="3"/>
      <c r="N55" s="4" t="s">
        <v>114</v>
      </c>
      <c r="O55" s="1"/>
      <c r="P55" t="e">
        <f t="shared" si="0"/>
        <v>#VALUE!</v>
      </c>
    </row>
    <row r="56" spans="1:16">
      <c r="A56" s="13" t="s">
        <v>82</v>
      </c>
      <c r="B56" s="1"/>
      <c r="C56" s="1"/>
      <c r="D56" s="1"/>
      <c r="E56" s="1"/>
      <c r="F56" s="1"/>
      <c r="G56" s="1"/>
      <c r="H56" s="1"/>
      <c r="I56" s="2"/>
      <c r="J56" s="3"/>
      <c r="K56" s="3"/>
      <c r="L56" s="3"/>
      <c r="M56" s="3"/>
      <c r="N56" s="4" t="s">
        <v>112</v>
      </c>
      <c r="O56" s="1"/>
      <c r="P56" t="e">
        <f t="shared" si="0"/>
        <v>#VALUE!</v>
      </c>
    </row>
    <row r="57" spans="1:16">
      <c r="A57" s="27" t="s">
        <v>96</v>
      </c>
      <c r="B57" s="1"/>
      <c r="C57" s="1"/>
      <c r="D57" s="1"/>
      <c r="E57" s="1"/>
      <c r="F57" s="1"/>
      <c r="G57" s="1"/>
      <c r="H57" s="1"/>
      <c r="I57" s="2"/>
      <c r="J57" s="3"/>
      <c r="K57" s="3"/>
      <c r="L57" s="3"/>
      <c r="M57" s="3"/>
      <c r="N57" s="4" t="s">
        <v>114</v>
      </c>
      <c r="O57" s="3"/>
      <c r="P57" t="e">
        <f t="shared" si="0"/>
        <v>#VALUE!</v>
      </c>
    </row>
    <row r="58" spans="1:16">
      <c r="A58" s="13" t="s">
        <v>120</v>
      </c>
      <c r="B58" s="1"/>
      <c r="C58" s="1"/>
      <c r="D58" s="1"/>
      <c r="E58" s="1"/>
      <c r="F58" s="1"/>
      <c r="G58" s="1"/>
      <c r="H58" s="1"/>
      <c r="I58" s="2"/>
      <c r="J58" s="3"/>
      <c r="K58" s="3"/>
      <c r="L58" s="3"/>
      <c r="M58" s="3"/>
      <c r="N58" s="4" t="s">
        <v>114</v>
      </c>
      <c r="O58" s="3"/>
      <c r="P58" t="e">
        <f t="shared" si="0"/>
        <v>#VALUE!</v>
      </c>
    </row>
    <row r="59" spans="1:16">
      <c r="A59" s="13" t="s">
        <v>60</v>
      </c>
      <c r="B59" s="1"/>
      <c r="C59" s="1"/>
      <c r="D59" s="1"/>
      <c r="E59" s="1"/>
      <c r="F59" s="1"/>
      <c r="G59" s="1"/>
      <c r="H59" s="1"/>
      <c r="I59" s="2"/>
      <c r="J59" s="3"/>
      <c r="K59" s="3"/>
      <c r="L59" s="3"/>
      <c r="M59" s="3"/>
      <c r="N59" s="4" t="s">
        <v>114</v>
      </c>
      <c r="O59" s="3"/>
      <c r="P59" t="e">
        <f t="shared" si="0"/>
        <v>#VALUE!</v>
      </c>
    </row>
    <row r="60" spans="1:16">
      <c r="A60" s="13" t="s">
        <v>61</v>
      </c>
      <c r="B60" s="1"/>
      <c r="C60" s="1"/>
      <c r="D60" s="1"/>
      <c r="E60" s="1"/>
      <c r="F60" s="1"/>
      <c r="G60" s="1"/>
      <c r="H60" s="1"/>
      <c r="I60" s="2"/>
      <c r="J60" s="3"/>
      <c r="K60" s="3"/>
      <c r="L60" s="3"/>
      <c r="M60" s="3"/>
      <c r="N60" s="4" t="s">
        <v>116</v>
      </c>
      <c r="O60" s="3"/>
      <c r="P60" t="e">
        <f t="shared" si="0"/>
        <v>#VALUE!</v>
      </c>
    </row>
    <row r="61" spans="1:16">
      <c r="A61" s="13" t="s">
        <v>19</v>
      </c>
      <c r="B61" s="5"/>
      <c r="C61" s="5"/>
      <c r="D61" s="1"/>
      <c r="E61" s="1"/>
      <c r="F61" s="1"/>
      <c r="G61" s="5"/>
      <c r="H61" s="5"/>
      <c r="I61" s="2"/>
      <c r="J61" s="5"/>
      <c r="K61" s="5"/>
      <c r="L61" s="5"/>
      <c r="M61" s="5"/>
      <c r="N61" s="4" t="s">
        <v>121</v>
      </c>
      <c r="O61" s="5"/>
      <c r="P61" t="e">
        <f t="shared" si="0"/>
        <v>#VALUE!</v>
      </c>
    </row>
    <row r="62" spans="1:16">
      <c r="A62" s="13" t="s">
        <v>16</v>
      </c>
      <c r="B62" s="1"/>
      <c r="C62" s="1"/>
      <c r="D62" s="1"/>
      <c r="E62" s="1"/>
      <c r="F62" s="1"/>
      <c r="G62" s="1"/>
      <c r="H62" s="1"/>
      <c r="I62" s="2"/>
      <c r="J62" s="3"/>
      <c r="K62" s="3"/>
      <c r="L62" s="3"/>
      <c r="M62" s="3"/>
      <c r="N62" s="4" t="s">
        <v>116</v>
      </c>
      <c r="O62" s="3"/>
      <c r="P62" t="e">
        <f t="shared" si="0"/>
        <v>#VALUE!</v>
      </c>
    </row>
    <row r="63" spans="1:16">
      <c r="A63" s="13" t="s">
        <v>95</v>
      </c>
      <c r="B63" s="1"/>
      <c r="C63" s="1"/>
      <c r="D63" s="1"/>
      <c r="E63" s="1"/>
      <c r="F63" s="1"/>
      <c r="G63" s="1"/>
      <c r="H63" s="1"/>
      <c r="I63" s="2"/>
      <c r="J63" s="3"/>
      <c r="K63" s="3"/>
      <c r="L63" s="3"/>
      <c r="M63" s="3"/>
      <c r="N63" s="4" t="s">
        <v>112</v>
      </c>
      <c r="O63" s="3"/>
      <c r="P63" t="e">
        <f t="shared" si="0"/>
        <v>#VALUE!</v>
      </c>
    </row>
    <row r="64" spans="1:16">
      <c r="A64" s="13" t="s">
        <v>34</v>
      </c>
      <c r="B64" s="1"/>
      <c r="C64" s="1"/>
      <c r="D64" s="1"/>
      <c r="E64" s="1"/>
      <c r="F64" s="1"/>
      <c r="G64" s="1"/>
      <c r="H64" s="1"/>
      <c r="I64" s="2"/>
      <c r="J64" s="3"/>
      <c r="K64" s="3"/>
      <c r="L64" s="3"/>
      <c r="M64" s="3"/>
      <c r="N64" s="4" t="s">
        <v>115</v>
      </c>
      <c r="O64" s="3"/>
      <c r="P64" t="e">
        <f t="shared" si="0"/>
        <v>#VALUE!</v>
      </c>
    </row>
    <row r="65" spans="1:16">
      <c r="A65" s="13" t="s">
        <v>62</v>
      </c>
      <c r="B65" s="1"/>
      <c r="C65" s="1"/>
      <c r="D65" s="1"/>
      <c r="E65" s="1"/>
      <c r="F65" s="1"/>
      <c r="G65" s="1"/>
      <c r="H65" s="1"/>
      <c r="I65" s="2"/>
      <c r="J65" s="3"/>
      <c r="K65" s="3"/>
      <c r="L65" s="3"/>
      <c r="M65" s="3"/>
      <c r="N65" s="4" t="s">
        <v>116</v>
      </c>
      <c r="O65" s="3"/>
      <c r="P65" t="e">
        <f t="shared" si="0"/>
        <v>#VALUE!</v>
      </c>
    </row>
    <row r="66" spans="1:16">
      <c r="A66" s="13" t="s">
        <v>36</v>
      </c>
      <c r="B66" s="1"/>
      <c r="C66" s="1"/>
      <c r="D66" s="1"/>
      <c r="E66" s="1"/>
      <c r="F66" s="1"/>
      <c r="G66" s="1"/>
      <c r="H66" s="1"/>
      <c r="I66" s="28"/>
      <c r="J66" s="3"/>
      <c r="K66" s="3"/>
      <c r="L66" s="3"/>
      <c r="M66" s="3"/>
      <c r="N66" s="4" t="s">
        <v>112</v>
      </c>
      <c r="O66" s="3"/>
      <c r="P66" t="e">
        <f t="shared" ref="P66:P68" si="1">IF(O66="OFF",0,
IF(VALUE(LEFT(O66,2))&lt;12,0,1))</f>
        <v>#VALUE!</v>
      </c>
    </row>
    <row r="67" spans="1:16">
      <c r="A67" s="21" t="s">
        <v>122</v>
      </c>
      <c r="B67" s="22"/>
      <c r="C67" s="22"/>
      <c r="D67" s="22"/>
      <c r="E67" s="22"/>
      <c r="F67" s="22"/>
      <c r="G67" s="22"/>
      <c r="H67" s="22"/>
      <c r="I67" s="23"/>
      <c r="J67" s="24"/>
      <c r="K67" s="24"/>
      <c r="L67" s="24"/>
      <c r="M67" s="24"/>
      <c r="N67" s="25" t="s">
        <v>114</v>
      </c>
      <c r="O67" s="24"/>
      <c r="P67" t="e">
        <f t="shared" si="1"/>
        <v>#VALUE!</v>
      </c>
    </row>
    <row r="68" spans="1:16">
      <c r="A68" s="13" t="s">
        <v>49</v>
      </c>
      <c r="B68" s="1"/>
      <c r="C68" s="1"/>
      <c r="D68" s="1"/>
      <c r="E68" s="1"/>
      <c r="F68" s="1"/>
      <c r="G68" s="1"/>
      <c r="H68" s="1"/>
      <c r="I68" s="2"/>
      <c r="J68" s="3"/>
      <c r="K68" s="3"/>
      <c r="L68" s="3"/>
      <c r="M68" s="3"/>
      <c r="N68" s="4" t="s">
        <v>116</v>
      </c>
      <c r="O68" s="3"/>
      <c r="P68" t="e">
        <f t="shared" si="1"/>
        <v>#VALUE!</v>
      </c>
    </row>
  </sheetData>
  <phoneticPr fontId="7" type="noConversion"/>
  <conditionalFormatting sqref="A2:I68">
    <cfRule type="cellIs" dxfId="7" priority="8" operator="equal">
      <formula>"OFF"</formula>
    </cfRule>
  </conditionalFormatting>
  <conditionalFormatting sqref="I61:I62">
    <cfRule type="cellIs" dxfId="6" priority="7" operator="equal">
      <formula>"OFF"</formula>
    </cfRule>
  </conditionalFormatting>
  <conditionalFormatting sqref="O12:O14">
    <cfRule type="cellIs" dxfId="5" priority="4" operator="equal">
      <formula>"OFF"</formula>
    </cfRule>
  </conditionalFormatting>
  <conditionalFormatting sqref="O51:O56">
    <cfRule type="cellIs" dxfId="4" priority="1" operator="equal">
      <formula>"OFF"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32C0-8F03-4FE5-8B6A-F08C4853862C}">
  <dimension ref="A1:P68"/>
  <sheetViews>
    <sheetView tabSelected="1" topLeftCell="A45" workbookViewId="0">
      <selection activeCell="O2" sqref="O2:P68"/>
    </sheetView>
  </sheetViews>
  <sheetFormatPr defaultRowHeight="14.45"/>
  <cols>
    <col min="1" max="1" width="24.5703125" bestFit="1" customWidth="1"/>
    <col min="2" max="2" width="12.85546875" customWidth="1"/>
    <col min="3" max="3" width="14.140625" customWidth="1"/>
    <col min="4" max="8" width="11.42578125" bestFit="1" customWidth="1"/>
    <col min="9" max="9" width="14" bestFit="1" customWidth="1"/>
    <col min="10" max="13" width="8.42578125" style="29" bestFit="1" customWidth="1"/>
    <col min="14" max="14" width="17.28515625" bestFit="1" customWidth="1"/>
    <col min="15" max="15" width="14.28515625" customWidth="1"/>
  </cols>
  <sheetData>
    <row r="1" spans="1:16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2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123</v>
      </c>
      <c r="P1" s="31" t="s">
        <v>15</v>
      </c>
    </row>
    <row r="2" spans="1:16">
      <c r="A2" t="str">
        <f>EST_OLD!A2</f>
        <v>Aireen Balanon</v>
      </c>
      <c r="J2" s="9"/>
      <c r="K2" s="9"/>
      <c r="L2" s="9"/>
      <c r="M2" s="9"/>
      <c r="N2" t="str">
        <f>EST_OLD!N2</f>
        <v>Remmo Panaligan</v>
      </c>
    </row>
    <row r="3" spans="1:16">
      <c r="A3" t="str">
        <f>EST_OLD!A3</f>
        <v>Alec Christian Palabay</v>
      </c>
      <c r="J3" s="9"/>
      <c r="K3" s="9"/>
      <c r="L3" s="9"/>
      <c r="M3" s="9"/>
      <c r="N3" t="str">
        <f>EST_OLD!N3</f>
        <v>Remmo Panaligan</v>
      </c>
    </row>
    <row r="4" spans="1:16">
      <c r="A4" t="str">
        <f>EST_OLD!A4</f>
        <v>Andrei Mark Llenos</v>
      </c>
      <c r="J4" s="9"/>
      <c r="K4" s="9"/>
      <c r="L4" s="9"/>
      <c r="M4" s="9"/>
      <c r="N4" t="str">
        <f>EST_OLD!N4</f>
        <v>Charmane Briones</v>
      </c>
    </row>
    <row r="5" spans="1:16">
      <c r="A5" t="str">
        <f>EST_OLD!A5</f>
        <v>Antonio Agda</v>
      </c>
      <c r="J5" s="9"/>
      <c r="K5" s="9"/>
      <c r="L5" s="9"/>
      <c r="M5" s="9"/>
      <c r="N5" t="str">
        <f>EST_OLD!N5</f>
        <v>Charmane Briones</v>
      </c>
    </row>
    <row r="6" spans="1:16">
      <c r="A6" t="str">
        <f>EST_OLD!A6</f>
        <v>Ash Belarmino</v>
      </c>
      <c r="J6" s="9"/>
      <c r="K6" s="9"/>
      <c r="L6" s="9"/>
      <c r="M6" s="9"/>
      <c r="N6" t="str">
        <f>EST_OLD!N6</f>
        <v>Christopher Rodas</v>
      </c>
    </row>
    <row r="7" spans="1:16">
      <c r="A7" t="str">
        <f>EST_OLD!A7</f>
        <v>Aysha Sagira Macalandong</v>
      </c>
      <c r="J7" s="9"/>
      <c r="K7" s="9"/>
      <c r="L7" s="9"/>
      <c r="M7" s="9"/>
      <c r="N7" t="str">
        <f>EST_OLD!N7</f>
        <v>Michael Dominguez</v>
      </c>
    </row>
    <row r="8" spans="1:16">
      <c r="A8" t="str">
        <f>EST_OLD!A8</f>
        <v>Azilean Khrista Almazan</v>
      </c>
      <c r="J8" s="9"/>
      <c r="K8" s="9"/>
      <c r="L8" s="9"/>
      <c r="M8" s="9"/>
      <c r="N8" t="str">
        <f>EST_OLD!N8</f>
        <v>Anmecha Valencia</v>
      </c>
    </row>
    <row r="9" spans="1:16">
      <c r="A9" t="str">
        <f>EST_OLD!A9</f>
        <v>Benedict Ermitano</v>
      </c>
      <c r="J9" s="9"/>
      <c r="K9" s="9"/>
      <c r="L9" s="9"/>
      <c r="M9" s="9"/>
      <c r="N9" t="str">
        <f>EST_OLD!N9</f>
        <v>Michael Dominguez</v>
      </c>
    </row>
    <row r="10" spans="1:16">
      <c r="A10" t="str">
        <f>EST_OLD!A10</f>
        <v>Carlos Kiamco</v>
      </c>
      <c r="J10" s="9"/>
      <c r="K10" s="9"/>
      <c r="L10" s="9"/>
      <c r="M10" s="9"/>
      <c r="N10" t="str">
        <f>EST_OLD!N10</f>
        <v>Christopher Rodas</v>
      </c>
    </row>
    <row r="11" spans="1:16">
      <c r="A11" t="str">
        <f>EST_OLD!A11</f>
        <v>Cesthel Narciso</v>
      </c>
      <c r="J11" s="9"/>
      <c r="K11" s="9"/>
      <c r="L11" s="9"/>
      <c r="M11" s="9"/>
      <c r="N11" t="str">
        <f>EST_OLD!N11</f>
        <v>Charmane Briones</v>
      </c>
    </row>
    <row r="12" spans="1:16">
      <c r="A12" t="str">
        <f>EST_OLD!A12</f>
        <v>Charisse Capuno</v>
      </c>
      <c r="J12" s="9"/>
      <c r="K12" s="9"/>
      <c r="L12" s="9"/>
      <c r="M12" s="9"/>
      <c r="N12" t="str">
        <f>EST_OLD!N12</f>
        <v>Anmecha Valencia</v>
      </c>
    </row>
    <row r="13" spans="1:16">
      <c r="A13" t="str">
        <f>EST_OLD!A13</f>
        <v>Chris Paul Dalut</v>
      </c>
      <c r="J13" s="9"/>
      <c r="K13" s="9"/>
      <c r="L13" s="9"/>
      <c r="M13" s="9"/>
      <c r="N13" t="str">
        <f>EST_OLD!N13</f>
        <v>Anmecha Valencia</v>
      </c>
    </row>
    <row r="14" spans="1:16">
      <c r="A14" t="str">
        <f>EST_OLD!A14</f>
        <v>Christian Lajera</v>
      </c>
      <c r="J14" s="9"/>
      <c r="K14" s="9"/>
      <c r="L14" s="9"/>
      <c r="M14" s="9"/>
      <c r="N14" t="str">
        <f>EST_OLD!N14</f>
        <v>Michael Dominguez</v>
      </c>
    </row>
    <row r="15" spans="1:16">
      <c r="A15" t="str">
        <f>EST_OLD!A15</f>
        <v>Cleendy Cerilla</v>
      </c>
      <c r="J15" s="9"/>
      <c r="K15" s="9"/>
      <c r="L15" s="9"/>
      <c r="M15" s="9"/>
      <c r="N15" t="str">
        <f>EST_OLD!N15</f>
        <v>Christopher Rodas</v>
      </c>
    </row>
    <row r="16" spans="1:16">
      <c r="A16" t="str">
        <f>EST_OLD!A16</f>
        <v>Crisma Vic Melecio</v>
      </c>
      <c r="J16" s="9"/>
      <c r="K16" s="9"/>
      <c r="L16" s="9"/>
      <c r="M16" s="9"/>
      <c r="N16" t="str">
        <f>EST_OLD!N16</f>
        <v>Charmane Briones</v>
      </c>
    </row>
    <row r="17" spans="1:14">
      <c r="A17" t="str">
        <f>EST_OLD!A17</f>
        <v>Cynthia Anosa</v>
      </c>
      <c r="J17" s="9"/>
      <c r="K17" s="9"/>
      <c r="L17" s="9"/>
      <c r="M17" s="9"/>
      <c r="N17" t="str">
        <f>EST_OLD!N17</f>
        <v>Charmane Briones</v>
      </c>
    </row>
    <row r="18" spans="1:14">
      <c r="A18" t="str">
        <f>EST_OLD!A18</f>
        <v>Dairenn Angel Adarne</v>
      </c>
      <c r="J18" s="9"/>
      <c r="K18" s="9"/>
      <c r="L18" s="9"/>
      <c r="M18" s="9"/>
      <c r="N18" t="str">
        <f>EST_OLD!N18</f>
        <v>Charmane Briones</v>
      </c>
    </row>
    <row r="19" spans="1:14">
      <c r="A19" t="str">
        <f>EST_OLD!A19</f>
        <v>Dharlyn Grej Estillore</v>
      </c>
      <c r="J19" s="9"/>
      <c r="K19" s="9"/>
      <c r="L19" s="9"/>
      <c r="M19" s="9"/>
      <c r="N19" t="str">
        <f>EST_OLD!N19</f>
        <v>Anmecha Valencia</v>
      </c>
    </row>
    <row r="20" spans="1:14">
      <c r="A20" t="str">
        <f>EST_OLD!A20</f>
        <v>Eduardo Jacinto</v>
      </c>
      <c r="J20" s="9"/>
      <c r="K20" s="9"/>
      <c r="L20" s="9"/>
      <c r="M20" s="9"/>
      <c r="N20" t="str">
        <f>EST_OLD!N20</f>
        <v>Anmecha Valencia</v>
      </c>
    </row>
    <row r="21" spans="1:14">
      <c r="A21" t="str">
        <f>EST_OLD!A21</f>
        <v>Elijah Jeremy Racca</v>
      </c>
      <c r="J21" s="9"/>
      <c r="K21" s="9"/>
      <c r="L21" s="9"/>
      <c r="M21" s="9"/>
      <c r="N21" t="str">
        <f>EST_OLD!N21</f>
        <v>Anmecha Valencia</v>
      </c>
    </row>
    <row r="22" spans="1:14">
      <c r="A22" t="str">
        <f>EST_OLD!A22</f>
        <v>Sam Supnet</v>
      </c>
      <c r="J22" s="9"/>
      <c r="K22" s="9"/>
      <c r="L22" s="9"/>
      <c r="M22" s="9"/>
      <c r="N22" t="str">
        <f>EST_OLD!N22</f>
        <v>Michael Dominguez</v>
      </c>
    </row>
    <row r="23" spans="1:14">
      <c r="A23" t="str">
        <f>EST_OLD!A23</f>
        <v>Eljohn Mar Cabalida</v>
      </c>
      <c r="J23" s="9"/>
      <c r="K23" s="9"/>
      <c r="L23" s="9"/>
      <c r="M23" s="9"/>
      <c r="N23" t="str">
        <f>EST_OLD!N23</f>
        <v>Michael Dominguez</v>
      </c>
    </row>
    <row r="24" spans="1:14">
      <c r="A24" t="str">
        <f>EST_OLD!A24</f>
        <v>Erica Mae Villamor</v>
      </c>
      <c r="J24" s="9"/>
      <c r="K24" s="9"/>
      <c r="L24" s="9"/>
      <c r="M24" s="9"/>
      <c r="N24" t="str">
        <f>EST_OLD!N24</f>
        <v>Christopher Rodas</v>
      </c>
    </row>
    <row r="25" spans="1:14">
      <c r="A25" t="str">
        <f>EST_OLD!A25</f>
        <v>France Bajao</v>
      </c>
      <c r="J25" s="9"/>
      <c r="K25" s="9"/>
      <c r="L25" s="9"/>
      <c r="M25" s="9"/>
      <c r="N25" t="str">
        <f>EST_OLD!N25</f>
        <v>Christopher Rodas</v>
      </c>
    </row>
    <row r="26" spans="1:14">
      <c r="A26" t="str">
        <f>EST_OLD!A26</f>
        <v>Giselle Florendo</v>
      </c>
      <c r="J26" s="9"/>
      <c r="K26" s="9"/>
      <c r="L26" s="9"/>
      <c r="M26" s="9"/>
      <c r="N26" t="str">
        <f>EST_OLD!N26</f>
        <v>Remmo Panaligan</v>
      </c>
    </row>
    <row r="27" spans="1:14">
      <c r="A27" t="str">
        <f>EST_OLD!A27</f>
        <v>Jackyleen Caballero</v>
      </c>
      <c r="J27" s="9"/>
      <c r="K27" s="9"/>
      <c r="L27" s="9"/>
      <c r="M27" s="9"/>
      <c r="N27" t="str">
        <f>EST_OLD!N27</f>
        <v>Christopher Rodas</v>
      </c>
    </row>
    <row r="28" spans="1:14">
      <c r="A28" t="str">
        <f>EST_OLD!A28</f>
        <v>James Kim Malatag</v>
      </c>
      <c r="J28" s="9"/>
      <c r="K28" s="9"/>
      <c r="L28" s="9"/>
      <c r="M28" s="9"/>
      <c r="N28" t="str">
        <f>EST_OLD!N28</f>
        <v>Michael Dominguez</v>
      </c>
    </row>
    <row r="29" spans="1:14">
      <c r="A29" t="str">
        <f>EST_OLD!A29</f>
        <v>James Matthew Santos</v>
      </c>
      <c r="J29" s="9"/>
      <c r="K29" s="9"/>
      <c r="L29" s="9"/>
      <c r="M29" s="9"/>
      <c r="N29" t="str">
        <f>EST_OLD!N29</f>
        <v>Remmo Panaligan</v>
      </c>
    </row>
    <row r="30" spans="1:14">
      <c r="A30" t="str">
        <f>EST_OLD!A30</f>
        <v>Jayson Pescadero</v>
      </c>
      <c r="J30" s="9"/>
      <c r="K30" s="9"/>
      <c r="L30" s="9"/>
      <c r="M30" s="9"/>
      <c r="N30" t="str">
        <f>EST_OLD!N30</f>
        <v>Remmo Panaligan</v>
      </c>
    </row>
    <row r="31" spans="1:14">
      <c r="A31" t="str">
        <f>EST_OLD!A31</f>
        <v>Jeffryl Joe Pardillo</v>
      </c>
      <c r="J31" s="9"/>
      <c r="K31" s="9"/>
      <c r="L31" s="9"/>
      <c r="M31" s="9"/>
      <c r="N31" t="str">
        <f>EST_OLD!N31</f>
        <v>Christopher Rodas</v>
      </c>
    </row>
    <row r="32" spans="1:14">
      <c r="A32" t="str">
        <f>EST_OLD!A32</f>
        <v>Jesse Owen Rama</v>
      </c>
      <c r="J32" s="9"/>
      <c r="K32" s="9"/>
      <c r="L32" s="9"/>
      <c r="M32" s="9"/>
      <c r="N32" t="str">
        <f>EST_OLD!N32</f>
        <v>Charmane Briones</v>
      </c>
    </row>
    <row r="33" spans="1:14">
      <c r="A33" t="str">
        <f>EST_OLD!A33</f>
        <v>Jewel Lei Sara</v>
      </c>
      <c r="J33" s="9"/>
      <c r="K33" s="9"/>
      <c r="L33" s="9"/>
      <c r="M33" s="9"/>
      <c r="N33" t="str">
        <f>EST_OLD!N33</f>
        <v>Christopher Rodas</v>
      </c>
    </row>
    <row r="34" spans="1:14">
      <c r="A34" t="str">
        <f>EST_OLD!A34</f>
        <v>Jeycel Roxas</v>
      </c>
      <c r="J34" s="9"/>
      <c r="K34" s="9"/>
      <c r="L34" s="9"/>
      <c r="M34" s="9"/>
      <c r="N34" t="str">
        <f>EST_OLD!N34</f>
        <v>Charmane Briones</v>
      </c>
    </row>
    <row r="35" spans="1:14">
      <c r="A35" t="str">
        <f>EST_OLD!A35</f>
        <v>Jhanelle Jane Didato</v>
      </c>
      <c r="J35" s="9"/>
      <c r="K35" s="9"/>
      <c r="L35" s="9"/>
      <c r="M35" s="9"/>
      <c r="N35" t="str">
        <f>EST_OLD!N35</f>
        <v>Charmane Briones</v>
      </c>
    </row>
    <row r="36" spans="1:14">
      <c r="A36" t="str">
        <f>EST_OLD!A36</f>
        <v>Jhonrey Jotojot</v>
      </c>
      <c r="J36" s="9"/>
      <c r="K36" s="9"/>
      <c r="L36" s="9"/>
      <c r="M36" s="9"/>
      <c r="N36" t="str">
        <f>EST_OLD!N36</f>
        <v>Charmane Briones</v>
      </c>
    </row>
    <row r="37" spans="1:14">
      <c r="A37" t="str">
        <f>EST_OLD!A37</f>
        <v>Jieleen Villegas</v>
      </c>
      <c r="J37" s="9"/>
      <c r="K37" s="9"/>
      <c r="L37" s="9"/>
      <c r="M37" s="9"/>
      <c r="N37" t="str">
        <f>EST_OLD!N37</f>
        <v>Anmecha Valencia</v>
      </c>
    </row>
    <row r="38" spans="1:14">
      <c r="A38" t="str">
        <f>EST_OLD!A38</f>
        <v>Joanah Carl Anoling</v>
      </c>
      <c r="J38" s="9"/>
      <c r="K38" s="9"/>
      <c r="L38" s="9"/>
      <c r="M38" s="9"/>
      <c r="N38" t="str">
        <f>EST_OLD!N38</f>
        <v>Charmane Briones</v>
      </c>
    </row>
    <row r="39" spans="1:14">
      <c r="A39" t="str">
        <f>EST_OLD!A39</f>
        <v>Joemie Ann Benedicto</v>
      </c>
      <c r="J39" s="9"/>
      <c r="K39" s="9"/>
      <c r="L39" s="9"/>
      <c r="M39" s="9"/>
      <c r="N39" t="str">
        <f>EST_OLD!N39</f>
        <v>Remmo Panaligan</v>
      </c>
    </row>
    <row r="40" spans="1:14">
      <c r="A40" t="str">
        <f>EST_OLD!A40</f>
        <v>Joseph Brian Nagor</v>
      </c>
      <c r="J40" s="9"/>
      <c r="K40" s="9"/>
      <c r="L40" s="9"/>
      <c r="M40" s="9"/>
      <c r="N40" t="str">
        <f>EST_OLD!N40</f>
        <v>Remmo Panaligan</v>
      </c>
    </row>
    <row r="41" spans="1:14">
      <c r="A41" t="str">
        <f>EST_OLD!A41</f>
        <v>Josephraim Lamoste</v>
      </c>
      <c r="J41" s="9"/>
      <c r="K41" s="9"/>
      <c r="L41" s="9"/>
      <c r="M41" s="9"/>
      <c r="N41" t="str">
        <f>EST_OLD!N41</f>
        <v>Charmane Briones</v>
      </c>
    </row>
    <row r="42" spans="1:14">
      <c r="A42" t="str">
        <f>EST_OLD!A42</f>
        <v>Joshua Bagaporo</v>
      </c>
      <c r="J42" s="9"/>
      <c r="K42" s="9"/>
      <c r="L42" s="9"/>
      <c r="M42" s="9"/>
      <c r="N42" t="str">
        <f>EST_OLD!N42</f>
        <v>Christopher Rodas</v>
      </c>
    </row>
    <row r="43" spans="1:14">
      <c r="A43" t="str">
        <f>EST_OLD!A43</f>
        <v>Joshua Mendoza</v>
      </c>
      <c r="J43" s="9"/>
      <c r="K43" s="9"/>
      <c r="L43" s="9"/>
      <c r="M43" s="9"/>
      <c r="N43" t="str">
        <f>EST_OLD!N43</f>
        <v>Anmecha Valencia</v>
      </c>
    </row>
    <row r="44" spans="1:14">
      <c r="A44" t="str">
        <f>EST_OLD!A44</f>
        <v>Juvy Labong</v>
      </c>
      <c r="J44" s="9"/>
      <c r="K44" s="9"/>
      <c r="L44" s="9"/>
      <c r="M44" s="9"/>
      <c r="N44" t="str">
        <f>EST_OLD!N44</f>
        <v>Remmo Panaligan</v>
      </c>
    </row>
    <row r="45" spans="1:14">
      <c r="A45" t="str">
        <f>EST_OLD!A45</f>
        <v>Kathleen Melecio</v>
      </c>
      <c r="J45" s="9"/>
      <c r="K45" s="9"/>
      <c r="L45" s="9"/>
      <c r="M45" s="9"/>
      <c r="N45" t="str">
        <f>EST_OLD!N45</f>
        <v>Christopher Rodas</v>
      </c>
    </row>
    <row r="46" spans="1:14">
      <c r="A46" t="str">
        <f>EST_OLD!A46</f>
        <v>Kenneth Oribello</v>
      </c>
      <c r="J46" s="9"/>
      <c r="K46" s="9"/>
      <c r="L46" s="9"/>
      <c r="M46" s="9"/>
      <c r="N46" t="str">
        <f>EST_OLD!N46</f>
        <v>Michael Dominguez</v>
      </c>
    </row>
    <row r="47" spans="1:14">
      <c r="A47" t="str">
        <f>EST_OLD!A47</f>
        <v>Kirby Santos</v>
      </c>
      <c r="J47" s="9"/>
      <c r="K47" s="9"/>
      <c r="L47" s="9"/>
      <c r="M47" s="9"/>
      <c r="N47" t="str">
        <f>EST_OLD!N47</f>
        <v>Charmane Briones</v>
      </c>
    </row>
    <row r="48" spans="1:14">
      <c r="A48" t="str">
        <f>EST_OLD!A48</f>
        <v>Lanz Jason Medallo</v>
      </c>
      <c r="J48" s="9"/>
      <c r="K48" s="9"/>
      <c r="L48" s="9"/>
      <c r="M48" s="9"/>
      <c r="N48" t="str">
        <f>EST_OLD!N48</f>
        <v>Remmo Panaligan</v>
      </c>
    </row>
    <row r="49" spans="1:14">
      <c r="A49" t="str">
        <f>EST_OLD!A49</f>
        <v>Lee Joseph Agbanlog</v>
      </c>
      <c r="J49" s="9"/>
      <c r="K49" s="9"/>
      <c r="L49" s="9"/>
      <c r="M49" s="9"/>
      <c r="N49" t="str">
        <f>EST_OLD!N49</f>
        <v>Michael Dominguez</v>
      </c>
    </row>
    <row r="50" spans="1:14">
      <c r="A50" t="str">
        <f>EST_OLD!A50</f>
        <v>Lovelyn Nicole Magcuyao</v>
      </c>
      <c r="J50" s="9"/>
      <c r="K50" s="9"/>
      <c r="L50" s="9"/>
      <c r="M50" s="9"/>
      <c r="N50" t="str">
        <f>EST_OLD!N50</f>
        <v>Anmecha Valencia</v>
      </c>
    </row>
    <row r="51" spans="1:14">
      <c r="A51" t="str">
        <f>EST_OLD!A51</f>
        <v>Manueleth Nardo</v>
      </c>
      <c r="J51" s="9"/>
      <c r="K51" s="9"/>
      <c r="L51" s="9"/>
      <c r="M51" s="9"/>
      <c r="N51" t="str">
        <f>EST_OLD!N51</f>
        <v>Christopher Rodas</v>
      </c>
    </row>
    <row r="52" spans="1:14">
      <c r="A52" t="str">
        <f>EST_OLD!A52</f>
        <v>Marielle Dakila</v>
      </c>
      <c r="J52" s="9"/>
      <c r="K52" s="9"/>
      <c r="L52" s="9"/>
      <c r="M52" s="9"/>
      <c r="N52" t="str">
        <f>EST_OLD!N52</f>
        <v>Remmo Panaligan</v>
      </c>
    </row>
    <row r="53" spans="1:14">
      <c r="A53" t="str">
        <f>EST_OLD!A53</f>
        <v>Marjon Gaebrielle Albay</v>
      </c>
      <c r="J53" s="9"/>
      <c r="K53" s="9"/>
      <c r="L53" s="9"/>
      <c r="M53" s="9"/>
      <c r="N53" t="str">
        <f>EST_OLD!N53</f>
        <v>Michael Dominguez</v>
      </c>
    </row>
    <row r="54" spans="1:14">
      <c r="A54" t="str">
        <f>EST_OLD!A54</f>
        <v>Mark Raymond Mangaser Jr</v>
      </c>
      <c r="J54" s="9"/>
      <c r="K54" s="9"/>
      <c r="L54" s="9"/>
      <c r="M54" s="9"/>
      <c r="N54" t="str">
        <f>EST_OLD!N54</f>
        <v>Remmo Panaligan</v>
      </c>
    </row>
    <row r="55" spans="1:14">
      <c r="A55" t="str">
        <f>EST_OLD!A55</f>
        <v>Mary Angelie Fajardo</v>
      </c>
      <c r="J55" s="9"/>
      <c r="K55" s="9"/>
      <c r="L55" s="9"/>
      <c r="M55" s="9"/>
      <c r="N55" t="str">
        <f>EST_OLD!N55</f>
        <v>Christopher Rodas</v>
      </c>
    </row>
    <row r="56" spans="1:14">
      <c r="A56" t="str">
        <f>EST_OLD!A56</f>
        <v>Mary Joy Delos Santos</v>
      </c>
      <c r="J56" s="9"/>
      <c r="K56" s="9"/>
      <c r="L56" s="9"/>
      <c r="M56" s="9"/>
      <c r="N56" t="str">
        <f>EST_OLD!N56</f>
        <v>Charmane Briones</v>
      </c>
    </row>
    <row r="57" spans="1:14">
      <c r="A57" t="str">
        <f>EST_OLD!A57</f>
        <v>Mhar Anthony Juezan</v>
      </c>
      <c r="J57" s="9"/>
      <c r="K57" s="9"/>
      <c r="L57" s="9"/>
      <c r="M57" s="9"/>
      <c r="N57" t="str">
        <f>EST_OLD!N57</f>
        <v>Christopher Rodas</v>
      </c>
    </row>
    <row r="58" spans="1:14">
      <c r="A58" t="str">
        <f>EST_OLD!A58</f>
        <v xml:space="preserve">Michael Lajato </v>
      </c>
      <c r="J58" s="9"/>
      <c r="K58" s="9"/>
      <c r="L58" s="9"/>
      <c r="M58" s="9"/>
      <c r="N58" t="str">
        <f>EST_OLD!N58</f>
        <v>Christopher Rodas</v>
      </c>
    </row>
    <row r="59" spans="1:14">
      <c r="A59" t="str">
        <f>EST_OLD!A59</f>
        <v>Michelle Corbeta</v>
      </c>
      <c r="J59" s="9"/>
      <c r="K59" s="9"/>
      <c r="L59" s="9"/>
      <c r="M59" s="9"/>
      <c r="N59" t="str">
        <f>EST_OLD!N59</f>
        <v>Christopher Rodas</v>
      </c>
    </row>
    <row r="60" spans="1:14">
      <c r="A60" t="str">
        <f>EST_OLD!A60</f>
        <v>Patricia Gilan Villas</v>
      </c>
      <c r="J60" s="9"/>
      <c r="K60" s="9"/>
      <c r="L60" s="9"/>
      <c r="M60" s="9"/>
      <c r="N60" t="str">
        <f>EST_OLD!N60</f>
        <v>Anmecha Valencia</v>
      </c>
    </row>
    <row r="61" spans="1:14">
      <c r="A61" t="str">
        <f>EST_OLD!A61</f>
        <v>Rayniel Ingal</v>
      </c>
      <c r="J61" s="9"/>
      <c r="K61" s="9"/>
      <c r="L61" s="9"/>
      <c r="M61" s="9"/>
      <c r="N61" t="str">
        <f>EST_OLD!N61</f>
        <v>Chris Borromeo</v>
      </c>
    </row>
    <row r="62" spans="1:14">
      <c r="A62" t="str">
        <f>EST_OLD!A62</f>
        <v>Rey Fernandez</v>
      </c>
      <c r="J62" s="9"/>
      <c r="K62" s="9"/>
      <c r="L62" s="9"/>
      <c r="M62" s="9"/>
      <c r="N62" t="str">
        <f>EST_OLD!N62</f>
        <v>Anmecha Valencia</v>
      </c>
    </row>
    <row r="63" spans="1:14">
      <c r="A63" t="str">
        <f>EST_OLD!A63</f>
        <v>Rona Rotchel Moniva</v>
      </c>
      <c r="J63" s="9"/>
      <c r="K63" s="9"/>
      <c r="L63" s="9"/>
      <c r="M63" s="9"/>
      <c r="N63" t="str">
        <f>EST_OLD!N63</f>
        <v>Charmane Briones</v>
      </c>
    </row>
    <row r="64" spans="1:14">
      <c r="A64" t="str">
        <f>EST_OLD!A64</f>
        <v>Roy Sagales</v>
      </c>
      <c r="J64" s="9"/>
      <c r="K64" s="9"/>
      <c r="L64" s="9"/>
      <c r="M64" s="9"/>
      <c r="N64" t="str">
        <f>EST_OLD!N64</f>
        <v>Michael Dominguez</v>
      </c>
    </row>
    <row r="65" spans="1:14">
      <c r="A65" t="str">
        <f>EST_OLD!A65</f>
        <v>Samantha Yvonne Dela Costa</v>
      </c>
      <c r="J65" s="9"/>
      <c r="K65" s="9"/>
      <c r="L65" s="9"/>
      <c r="M65" s="9"/>
      <c r="N65" t="str">
        <f>EST_OLD!N65</f>
        <v>Anmecha Valencia</v>
      </c>
    </row>
    <row r="66" spans="1:14">
      <c r="A66" t="str">
        <f>EST_OLD!A66</f>
        <v>Shiela Mae Laroa</v>
      </c>
      <c r="J66" s="9"/>
      <c r="K66" s="9"/>
      <c r="L66" s="9"/>
      <c r="M66" s="9"/>
      <c r="N66" t="str">
        <f>EST_OLD!N66</f>
        <v>Charmane Briones</v>
      </c>
    </row>
    <row r="67" spans="1:14">
      <c r="A67" t="str">
        <f>EST_OLD!A67</f>
        <v>Wiljen Keith Lim</v>
      </c>
      <c r="J67" s="9"/>
      <c r="K67" s="9"/>
      <c r="L67" s="9"/>
      <c r="M67" s="9"/>
      <c r="N67" t="str">
        <f>EST_OLD!N67</f>
        <v>Christopher Rodas</v>
      </c>
    </row>
    <row r="68" spans="1:14">
      <c r="A68" t="str">
        <f>EST_OLD!A68</f>
        <v>William Nava</v>
      </c>
      <c r="J68" s="9"/>
      <c r="K68" s="9"/>
      <c r="L68" s="9"/>
      <c r="M68" s="9"/>
      <c r="N68" t="str">
        <f>EST_OLD!N68</f>
        <v>Anmecha Valencia</v>
      </c>
    </row>
  </sheetData>
  <autoFilter ref="A1:P68" xr:uid="{402932C0-8F03-4FE5-8B6A-F08C4853862C}"/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77A1-36D9-450A-8727-90DBF544EDF2}">
  <dimension ref="A1:B1001"/>
  <sheetViews>
    <sheetView workbookViewId="0">
      <selection activeCell="D9" sqref="D9"/>
    </sheetView>
  </sheetViews>
  <sheetFormatPr defaultRowHeight="14.45"/>
  <cols>
    <col min="1" max="1" width="26.7109375" bestFit="1" customWidth="1"/>
    <col min="2" max="2" width="19.7109375" bestFit="1" customWidth="1"/>
  </cols>
  <sheetData>
    <row r="1" spans="1:2" ht="15">
      <c r="A1" s="49" t="s">
        <v>124</v>
      </c>
      <c r="B1" s="50" t="s">
        <v>125</v>
      </c>
    </row>
    <row r="2" spans="1:2" ht="15">
      <c r="A2" s="51" t="s">
        <v>21</v>
      </c>
      <c r="B2" s="52" t="s">
        <v>111</v>
      </c>
    </row>
    <row r="3" spans="1:2" ht="15">
      <c r="A3" s="51" t="s">
        <v>70</v>
      </c>
      <c r="B3" s="52" t="s">
        <v>111</v>
      </c>
    </row>
    <row r="4" spans="1:2" ht="15">
      <c r="A4" s="51" t="s">
        <v>40</v>
      </c>
      <c r="B4" s="52" t="s">
        <v>126</v>
      </c>
    </row>
    <row r="5" spans="1:2" ht="15">
      <c r="A5" s="51" t="s">
        <v>37</v>
      </c>
      <c r="B5" s="52" t="s">
        <v>126</v>
      </c>
    </row>
    <row r="6" spans="1:2" ht="15">
      <c r="A6" s="51" t="s">
        <v>127</v>
      </c>
      <c r="B6" s="52" t="s">
        <v>128</v>
      </c>
    </row>
    <row r="7" spans="1:2" ht="15">
      <c r="A7" s="51" t="s">
        <v>129</v>
      </c>
      <c r="B7" s="52" t="s">
        <v>128</v>
      </c>
    </row>
    <row r="8" spans="1:2" ht="15">
      <c r="A8" s="51" t="s">
        <v>105</v>
      </c>
      <c r="B8" s="52" t="s">
        <v>115</v>
      </c>
    </row>
    <row r="9" spans="1:2" ht="15">
      <c r="A9" s="51" t="s">
        <v>92</v>
      </c>
      <c r="B9" s="52" t="s">
        <v>116</v>
      </c>
    </row>
    <row r="10" spans="1:2" ht="15">
      <c r="A10" s="51" t="s">
        <v>50</v>
      </c>
      <c r="B10" s="52" t="s">
        <v>115</v>
      </c>
    </row>
    <row r="11" spans="1:2" ht="15">
      <c r="A11" s="51" t="s">
        <v>130</v>
      </c>
      <c r="B11" s="52" t="s">
        <v>115</v>
      </c>
    </row>
    <row r="12" spans="1:2" ht="15">
      <c r="A12" s="51" t="s">
        <v>73</v>
      </c>
      <c r="B12" s="52" t="s">
        <v>114</v>
      </c>
    </row>
    <row r="13" spans="1:2" ht="15">
      <c r="A13" s="51" t="s">
        <v>52</v>
      </c>
      <c r="B13" s="52" t="s">
        <v>116</v>
      </c>
    </row>
    <row r="14" spans="1:2" ht="15">
      <c r="A14" s="51" t="s">
        <v>25</v>
      </c>
      <c r="B14" s="52" t="s">
        <v>116</v>
      </c>
    </row>
    <row r="15" spans="1:2" ht="15">
      <c r="A15" s="51" t="s">
        <v>93</v>
      </c>
      <c r="B15" s="52" t="s">
        <v>115</v>
      </c>
    </row>
    <row r="16" spans="1:2" ht="15">
      <c r="A16" s="51" t="s">
        <v>39</v>
      </c>
      <c r="B16" s="52" t="s">
        <v>114</v>
      </c>
    </row>
    <row r="17" spans="1:2" ht="15">
      <c r="A17" s="51" t="s">
        <v>131</v>
      </c>
      <c r="B17" s="52" t="s">
        <v>128</v>
      </c>
    </row>
    <row r="18" spans="1:2" ht="15">
      <c r="A18" s="51" t="s">
        <v>103</v>
      </c>
      <c r="B18" s="52" t="s">
        <v>126</v>
      </c>
    </row>
    <row r="19" spans="1:2" ht="15">
      <c r="A19" s="51" t="s">
        <v>86</v>
      </c>
      <c r="B19" s="52" t="s">
        <v>126</v>
      </c>
    </row>
    <row r="20" spans="1:2" ht="15">
      <c r="A20" s="51" t="s">
        <v>53</v>
      </c>
      <c r="B20" s="52" t="s">
        <v>114</v>
      </c>
    </row>
    <row r="21" spans="1:2" ht="15">
      <c r="A21" s="51" t="s">
        <v>42</v>
      </c>
      <c r="B21" s="52" t="s">
        <v>126</v>
      </c>
    </row>
    <row r="22" spans="1:2" ht="15">
      <c r="A22" s="51" t="s">
        <v>67</v>
      </c>
      <c r="B22" s="52" t="s">
        <v>116</v>
      </c>
    </row>
    <row r="23" spans="1:2" ht="15">
      <c r="A23" s="51" t="s">
        <v>54</v>
      </c>
      <c r="B23" s="52" t="s">
        <v>116</v>
      </c>
    </row>
    <row r="24" spans="1:2" ht="15">
      <c r="A24" s="51" t="s">
        <v>55</v>
      </c>
      <c r="B24" s="52" t="s">
        <v>116</v>
      </c>
    </row>
    <row r="25" spans="1:2" ht="15">
      <c r="A25" s="51" t="s">
        <v>43</v>
      </c>
      <c r="B25" s="52" t="s">
        <v>115</v>
      </c>
    </row>
    <row r="26" spans="1:2" ht="15">
      <c r="A26" s="51" t="s">
        <v>99</v>
      </c>
      <c r="B26" s="52" t="s">
        <v>114</v>
      </c>
    </row>
    <row r="27" spans="1:2" ht="15">
      <c r="A27" s="51" t="s">
        <v>75</v>
      </c>
      <c r="B27" s="52" t="s">
        <v>114</v>
      </c>
    </row>
    <row r="28" spans="1:2" ht="15">
      <c r="A28" s="51" t="s">
        <v>31</v>
      </c>
      <c r="B28" s="52" t="s">
        <v>111</v>
      </c>
    </row>
    <row r="29" spans="1:2" ht="15">
      <c r="A29" s="51" t="s">
        <v>27</v>
      </c>
      <c r="B29" s="52" t="s">
        <v>114</v>
      </c>
    </row>
    <row r="30" spans="1:2" ht="15">
      <c r="A30" s="51" t="s">
        <v>63</v>
      </c>
      <c r="B30" s="52" t="s">
        <v>115</v>
      </c>
    </row>
    <row r="31" spans="1:2" ht="15">
      <c r="A31" s="51" t="s">
        <v>44</v>
      </c>
      <c r="B31" s="52" t="s">
        <v>111</v>
      </c>
    </row>
    <row r="32" spans="1:2" ht="15">
      <c r="A32" s="51" t="s">
        <v>132</v>
      </c>
      <c r="B32" s="52" t="s">
        <v>128</v>
      </c>
    </row>
    <row r="33" spans="1:2" ht="15">
      <c r="A33" s="51" t="s">
        <v>133</v>
      </c>
      <c r="B33" s="52" t="s">
        <v>128</v>
      </c>
    </row>
    <row r="34" spans="1:2" ht="15">
      <c r="A34" s="51" t="s">
        <v>69</v>
      </c>
      <c r="B34" s="52" t="s">
        <v>111</v>
      </c>
    </row>
    <row r="35" spans="1:2" ht="15">
      <c r="A35" s="51" t="s">
        <v>23</v>
      </c>
      <c r="B35" s="52" t="s">
        <v>114</v>
      </c>
    </row>
    <row r="36" spans="1:2" ht="15">
      <c r="A36" s="51" t="s">
        <v>80</v>
      </c>
      <c r="B36" s="52" t="s">
        <v>126</v>
      </c>
    </row>
    <row r="37" spans="1:2" ht="15">
      <c r="A37" s="51" t="s">
        <v>134</v>
      </c>
      <c r="B37" s="52" t="s">
        <v>128</v>
      </c>
    </row>
    <row r="38" spans="1:2" ht="15">
      <c r="A38" s="51" t="s">
        <v>119</v>
      </c>
      <c r="B38" s="52" t="s">
        <v>114</v>
      </c>
    </row>
    <row r="39" spans="1:2" ht="15">
      <c r="A39" s="51" t="s">
        <v>45</v>
      </c>
      <c r="B39" s="52" t="s">
        <v>126</v>
      </c>
    </row>
    <row r="40" spans="1:2" ht="15">
      <c r="A40" s="51" t="s">
        <v>97</v>
      </c>
      <c r="B40" s="52" t="s">
        <v>126</v>
      </c>
    </row>
    <row r="41" spans="1:2" ht="15">
      <c r="A41" s="51" t="s">
        <v>135</v>
      </c>
      <c r="B41" s="52" t="s">
        <v>115</v>
      </c>
    </row>
    <row r="42" spans="1:2" ht="15">
      <c r="A42" s="51" t="s">
        <v>88</v>
      </c>
      <c r="B42" s="52" t="s">
        <v>126</v>
      </c>
    </row>
    <row r="43" spans="1:2" ht="15">
      <c r="A43" s="51" t="s">
        <v>77</v>
      </c>
      <c r="B43" s="52" t="s">
        <v>116</v>
      </c>
    </row>
    <row r="44" spans="1:2" ht="15">
      <c r="A44" s="51" t="s">
        <v>85</v>
      </c>
      <c r="B44" s="52" t="s">
        <v>126</v>
      </c>
    </row>
    <row r="45" spans="1:2" ht="15">
      <c r="A45" s="51" t="s">
        <v>33</v>
      </c>
      <c r="B45" s="52" t="s">
        <v>111</v>
      </c>
    </row>
    <row r="46" spans="1:2" ht="15">
      <c r="A46" s="51" t="s">
        <v>136</v>
      </c>
      <c r="B46" s="52" t="s">
        <v>128</v>
      </c>
    </row>
    <row r="47" spans="1:2" ht="15">
      <c r="A47" s="51" t="s">
        <v>79</v>
      </c>
      <c r="B47" s="52" t="s">
        <v>111</v>
      </c>
    </row>
    <row r="48" spans="1:2" ht="15">
      <c r="A48" s="51" t="s">
        <v>72</v>
      </c>
      <c r="B48" s="52" t="s">
        <v>126</v>
      </c>
    </row>
    <row r="49" spans="1:2" ht="15">
      <c r="A49" s="51" t="s">
        <v>89</v>
      </c>
      <c r="B49" s="52" t="s">
        <v>114</v>
      </c>
    </row>
    <row r="50" spans="1:2" ht="15">
      <c r="A50" s="51" t="s">
        <v>56</v>
      </c>
      <c r="B50" s="52" t="s">
        <v>116</v>
      </c>
    </row>
    <row r="51" spans="1:2" ht="15">
      <c r="A51" s="51" t="s">
        <v>137</v>
      </c>
      <c r="B51" s="52" t="s">
        <v>128</v>
      </c>
    </row>
    <row r="52" spans="1:2" ht="15">
      <c r="A52" s="51" t="s">
        <v>46</v>
      </c>
      <c r="B52" s="52" t="s">
        <v>111</v>
      </c>
    </row>
    <row r="53" spans="1:2" ht="15">
      <c r="A53" s="51" t="s">
        <v>83</v>
      </c>
      <c r="B53" s="52" t="s">
        <v>114</v>
      </c>
    </row>
    <row r="54" spans="1:2" ht="15">
      <c r="A54" s="51" t="s">
        <v>47</v>
      </c>
      <c r="B54" s="52" t="s">
        <v>115</v>
      </c>
    </row>
    <row r="55" spans="1:2" ht="15">
      <c r="A55" s="51" t="s">
        <v>100</v>
      </c>
      <c r="B55" s="52" t="s">
        <v>126</v>
      </c>
    </row>
    <row r="56" spans="1:2" ht="15">
      <c r="A56" s="51" t="s">
        <v>138</v>
      </c>
      <c r="B56" s="52" t="s">
        <v>115</v>
      </c>
    </row>
    <row r="57" spans="1:2" ht="15">
      <c r="A57" s="51" t="s">
        <v>48</v>
      </c>
      <c r="B57" s="52" t="s">
        <v>111</v>
      </c>
    </row>
    <row r="58" spans="1:2" ht="15">
      <c r="A58" s="51" t="s">
        <v>57</v>
      </c>
      <c r="B58" s="52" t="s">
        <v>115</v>
      </c>
    </row>
    <row r="59" spans="1:2" ht="15">
      <c r="A59" s="51" t="s">
        <v>58</v>
      </c>
      <c r="B59" s="52" t="s">
        <v>116</v>
      </c>
    </row>
    <row r="60" spans="1:2" ht="15">
      <c r="A60" s="51" t="s">
        <v>139</v>
      </c>
      <c r="B60" s="52" t="s">
        <v>115</v>
      </c>
    </row>
    <row r="61" spans="1:2" ht="15">
      <c r="A61" s="51" t="s">
        <v>101</v>
      </c>
      <c r="B61" s="52" t="s">
        <v>114</v>
      </c>
    </row>
    <row r="62" spans="1:2" ht="15">
      <c r="A62" s="51" t="s">
        <v>59</v>
      </c>
      <c r="B62" s="52" t="s">
        <v>111</v>
      </c>
    </row>
    <row r="63" spans="1:2" ht="15">
      <c r="A63" s="51" t="s">
        <v>94</v>
      </c>
      <c r="B63" s="52" t="s">
        <v>115</v>
      </c>
    </row>
    <row r="64" spans="1:2" ht="15">
      <c r="A64" s="51" t="s">
        <v>29</v>
      </c>
      <c r="B64" s="52" t="s">
        <v>111</v>
      </c>
    </row>
    <row r="65" spans="1:2" ht="15">
      <c r="A65" s="51" t="s">
        <v>107</v>
      </c>
      <c r="B65" s="52" t="s">
        <v>114</v>
      </c>
    </row>
    <row r="66" spans="1:2" ht="15">
      <c r="A66" s="51" t="s">
        <v>82</v>
      </c>
      <c r="B66" s="52" t="s">
        <v>126</v>
      </c>
    </row>
    <row r="67" spans="1:2" ht="15">
      <c r="A67" s="51" t="s">
        <v>96</v>
      </c>
      <c r="B67" s="52" t="s">
        <v>114</v>
      </c>
    </row>
    <row r="68" spans="1:2" ht="15">
      <c r="A68" s="51" t="s">
        <v>60</v>
      </c>
      <c r="B68" s="52" t="s">
        <v>114</v>
      </c>
    </row>
    <row r="69" spans="1:2" ht="15">
      <c r="A69" s="51" t="s">
        <v>140</v>
      </c>
      <c r="B69" s="52" t="s">
        <v>126</v>
      </c>
    </row>
    <row r="70" spans="1:2" ht="15">
      <c r="A70" s="51" t="s">
        <v>90</v>
      </c>
      <c r="B70" s="52" t="s">
        <v>114</v>
      </c>
    </row>
    <row r="71" spans="1:2" ht="15">
      <c r="A71" s="51" t="s">
        <v>61</v>
      </c>
      <c r="B71" s="52" t="s">
        <v>116</v>
      </c>
    </row>
    <row r="72" spans="1:2" ht="15">
      <c r="A72" s="51" t="s">
        <v>30</v>
      </c>
      <c r="B72" s="52" t="s">
        <v>114</v>
      </c>
    </row>
    <row r="73" spans="1:2" ht="15">
      <c r="A73" s="51" t="s">
        <v>19</v>
      </c>
      <c r="B73" s="52" t="s">
        <v>121</v>
      </c>
    </row>
    <row r="74" spans="1:2" ht="15">
      <c r="A74" s="51" t="s">
        <v>141</v>
      </c>
      <c r="B74" s="52" t="s">
        <v>128</v>
      </c>
    </row>
    <row r="75" spans="1:2" ht="15">
      <c r="A75" s="51" t="s">
        <v>16</v>
      </c>
      <c r="B75" s="52" t="s">
        <v>116</v>
      </c>
    </row>
    <row r="76" spans="1:2" ht="15">
      <c r="A76" s="51" t="s">
        <v>142</v>
      </c>
      <c r="B76" s="52" t="s">
        <v>143</v>
      </c>
    </row>
    <row r="77" spans="1:2" ht="15">
      <c r="A77" s="51" t="s">
        <v>95</v>
      </c>
      <c r="B77" s="52" t="s">
        <v>126</v>
      </c>
    </row>
    <row r="78" spans="1:2" ht="15">
      <c r="A78" s="51" t="s">
        <v>144</v>
      </c>
      <c r="B78" s="52" t="s">
        <v>111</v>
      </c>
    </row>
    <row r="79" spans="1:2" ht="15">
      <c r="A79" s="51" t="s">
        <v>145</v>
      </c>
      <c r="B79" s="52" t="s">
        <v>143</v>
      </c>
    </row>
    <row r="80" spans="1:2" ht="15">
      <c r="A80" s="51" t="s">
        <v>34</v>
      </c>
      <c r="B80" s="52" t="s">
        <v>115</v>
      </c>
    </row>
    <row r="81" spans="1:2" ht="15">
      <c r="A81" s="51" t="s">
        <v>146</v>
      </c>
      <c r="B81" s="52" t="s">
        <v>143</v>
      </c>
    </row>
    <row r="82" spans="1:2" ht="15">
      <c r="A82" s="51" t="s">
        <v>65</v>
      </c>
      <c r="B82" s="52" t="s">
        <v>115</v>
      </c>
    </row>
    <row r="83" spans="1:2" ht="15">
      <c r="A83" s="51" t="s">
        <v>62</v>
      </c>
      <c r="B83" s="52" t="s">
        <v>116</v>
      </c>
    </row>
    <row r="84" spans="1:2" ht="15">
      <c r="A84" s="51" t="s">
        <v>91</v>
      </c>
      <c r="B84" s="52" t="s">
        <v>114</v>
      </c>
    </row>
    <row r="85" spans="1:2" ht="15">
      <c r="A85" s="51" t="s">
        <v>36</v>
      </c>
      <c r="B85" s="52" t="s">
        <v>126</v>
      </c>
    </row>
    <row r="86" spans="1:2" ht="15">
      <c r="A86" s="51" t="s">
        <v>49</v>
      </c>
      <c r="B86" s="52" t="s">
        <v>116</v>
      </c>
    </row>
    <row r="87" spans="1:2" ht="15">
      <c r="A87" s="51"/>
      <c r="B87" s="52"/>
    </row>
    <row r="88" spans="1:2" ht="15">
      <c r="A88" s="51"/>
      <c r="B88" s="52"/>
    </row>
    <row r="89" spans="1:2" ht="15">
      <c r="A89" s="51"/>
      <c r="B89" s="52"/>
    </row>
    <row r="90" spans="1:2" ht="15">
      <c r="A90" s="51"/>
      <c r="B90" s="52"/>
    </row>
    <row r="91" spans="1:2" ht="15">
      <c r="A91" s="51"/>
      <c r="B91" s="52"/>
    </row>
    <row r="92" spans="1:2" ht="15">
      <c r="A92" s="51"/>
      <c r="B92" s="52"/>
    </row>
    <row r="93" spans="1:2" ht="15">
      <c r="A93" s="51"/>
      <c r="B93" s="52"/>
    </row>
    <row r="94" spans="1:2" ht="15">
      <c r="A94" s="51"/>
      <c r="B94" s="52"/>
    </row>
    <row r="95" spans="1:2" ht="15">
      <c r="A95" s="51"/>
      <c r="B95" s="52"/>
    </row>
    <row r="96" spans="1:2" ht="15">
      <c r="A96" s="51"/>
      <c r="B96" s="52"/>
    </row>
    <row r="97" spans="1:2" ht="15">
      <c r="A97" s="51"/>
      <c r="B97" s="52"/>
    </row>
    <row r="98" spans="1:2" ht="15">
      <c r="A98" s="51"/>
      <c r="B98" s="52"/>
    </row>
    <row r="99" spans="1:2" ht="15">
      <c r="A99" s="51"/>
      <c r="B99" s="52"/>
    </row>
    <row r="100" spans="1:2" ht="15">
      <c r="A100" s="51"/>
      <c r="B100" s="52"/>
    </row>
    <row r="101" spans="1:2" ht="15">
      <c r="A101" s="51"/>
      <c r="B101" s="52"/>
    </row>
    <row r="102" spans="1:2" ht="15">
      <c r="A102" s="51"/>
      <c r="B102" s="52"/>
    </row>
    <row r="103" spans="1:2" ht="15">
      <c r="A103" s="51"/>
      <c r="B103" s="52"/>
    </row>
    <row r="104" spans="1:2" ht="15">
      <c r="A104" s="51"/>
      <c r="B104" s="52"/>
    </row>
    <row r="105" spans="1:2" ht="15">
      <c r="A105" s="51"/>
      <c r="B105" s="52"/>
    </row>
    <row r="106" spans="1:2" ht="15">
      <c r="A106" s="51"/>
      <c r="B106" s="52"/>
    </row>
    <row r="107" spans="1:2" ht="15">
      <c r="A107" s="51"/>
      <c r="B107" s="52"/>
    </row>
    <row r="108" spans="1:2" ht="15">
      <c r="A108" s="51"/>
      <c r="B108" s="52"/>
    </row>
    <row r="109" spans="1:2" ht="15">
      <c r="A109" s="51"/>
      <c r="B109" s="52"/>
    </row>
    <row r="110" spans="1:2" ht="15">
      <c r="A110" s="51"/>
      <c r="B110" s="52"/>
    </row>
    <row r="111" spans="1:2" ht="15">
      <c r="A111" s="51"/>
      <c r="B111" s="52"/>
    </row>
    <row r="112" spans="1:2" ht="15">
      <c r="A112" s="51"/>
      <c r="B112" s="52"/>
    </row>
    <row r="113" spans="1:2" ht="15">
      <c r="A113" s="51"/>
      <c r="B113" s="52"/>
    </row>
    <row r="114" spans="1:2" ht="15">
      <c r="A114" s="51"/>
      <c r="B114" s="52"/>
    </row>
    <row r="115" spans="1:2" ht="15">
      <c r="A115" s="51"/>
      <c r="B115" s="52"/>
    </row>
    <row r="116" spans="1:2" ht="15">
      <c r="A116" s="51"/>
      <c r="B116" s="52"/>
    </row>
    <row r="117" spans="1:2" ht="15">
      <c r="A117" s="51"/>
      <c r="B117" s="52"/>
    </row>
    <row r="118" spans="1:2" ht="15">
      <c r="A118" s="51"/>
      <c r="B118" s="52"/>
    </row>
    <row r="119" spans="1:2" ht="15">
      <c r="A119" s="51"/>
      <c r="B119" s="52"/>
    </row>
    <row r="120" spans="1:2" ht="15">
      <c r="A120" s="51"/>
      <c r="B120" s="52"/>
    </row>
    <row r="121" spans="1:2" ht="15">
      <c r="A121" s="51"/>
      <c r="B121" s="52"/>
    </row>
    <row r="122" spans="1:2" ht="15">
      <c r="A122" s="51"/>
      <c r="B122" s="52"/>
    </row>
    <row r="123" spans="1:2" ht="15">
      <c r="A123" s="51"/>
      <c r="B123" s="52"/>
    </row>
    <row r="124" spans="1:2" ht="15">
      <c r="A124" s="51"/>
      <c r="B124" s="52"/>
    </row>
    <row r="125" spans="1:2" ht="15">
      <c r="A125" s="51"/>
      <c r="B125" s="52"/>
    </row>
    <row r="126" spans="1:2" ht="15">
      <c r="A126" s="51"/>
      <c r="B126" s="52"/>
    </row>
    <row r="127" spans="1:2" ht="15">
      <c r="A127" s="51"/>
      <c r="B127" s="52"/>
    </row>
    <row r="128" spans="1:2" ht="15">
      <c r="A128" s="51"/>
      <c r="B128" s="52"/>
    </row>
    <row r="129" spans="1:2" ht="15">
      <c r="A129" s="51"/>
      <c r="B129" s="52"/>
    </row>
    <row r="130" spans="1:2" ht="15">
      <c r="A130" s="51"/>
      <c r="B130" s="52"/>
    </row>
    <row r="131" spans="1:2" ht="15">
      <c r="A131" s="51"/>
      <c r="B131" s="52"/>
    </row>
    <row r="132" spans="1:2" ht="15">
      <c r="A132" s="51"/>
      <c r="B132" s="52"/>
    </row>
    <row r="133" spans="1:2" ht="15">
      <c r="A133" s="51"/>
      <c r="B133" s="52"/>
    </row>
    <row r="134" spans="1:2" ht="15">
      <c r="A134" s="51"/>
      <c r="B134" s="52"/>
    </row>
    <row r="135" spans="1:2" ht="15">
      <c r="A135" s="51"/>
      <c r="B135" s="52"/>
    </row>
    <row r="136" spans="1:2" ht="15">
      <c r="A136" s="51"/>
      <c r="B136" s="52"/>
    </row>
    <row r="137" spans="1:2" ht="15">
      <c r="A137" s="51"/>
      <c r="B137" s="52"/>
    </row>
    <row r="138" spans="1:2" ht="15">
      <c r="A138" s="51"/>
      <c r="B138" s="52"/>
    </row>
    <row r="139" spans="1:2" ht="15">
      <c r="A139" s="51"/>
      <c r="B139" s="52"/>
    </row>
    <row r="140" spans="1:2" ht="15">
      <c r="A140" s="51"/>
      <c r="B140" s="52"/>
    </row>
    <row r="141" spans="1:2" ht="15">
      <c r="A141" s="51"/>
      <c r="B141" s="52"/>
    </row>
    <row r="142" spans="1:2" ht="15">
      <c r="A142" s="51"/>
      <c r="B142" s="52"/>
    </row>
    <row r="143" spans="1:2" ht="15">
      <c r="A143" s="51"/>
      <c r="B143" s="52"/>
    </row>
    <row r="144" spans="1:2" ht="15">
      <c r="A144" s="51"/>
      <c r="B144" s="52"/>
    </row>
    <row r="145" spans="1:2" ht="15">
      <c r="A145" s="51"/>
      <c r="B145" s="52"/>
    </row>
    <row r="146" spans="1:2" ht="15">
      <c r="A146" s="51"/>
      <c r="B146" s="52"/>
    </row>
    <row r="147" spans="1:2" ht="15">
      <c r="A147" s="51"/>
      <c r="B147" s="52"/>
    </row>
    <row r="148" spans="1:2" ht="15">
      <c r="A148" s="51"/>
      <c r="B148" s="52"/>
    </row>
    <row r="149" spans="1:2" ht="15">
      <c r="A149" s="51"/>
      <c r="B149" s="52"/>
    </row>
    <row r="150" spans="1:2" ht="15">
      <c r="A150" s="51"/>
      <c r="B150" s="52"/>
    </row>
    <row r="151" spans="1:2" ht="15">
      <c r="A151" s="51"/>
      <c r="B151" s="52"/>
    </row>
    <row r="152" spans="1:2" ht="15">
      <c r="A152" s="51"/>
      <c r="B152" s="52"/>
    </row>
    <row r="153" spans="1:2" ht="15">
      <c r="A153" s="51"/>
      <c r="B153" s="52"/>
    </row>
    <row r="154" spans="1:2" ht="15">
      <c r="A154" s="51"/>
      <c r="B154" s="52"/>
    </row>
    <row r="155" spans="1:2" ht="15">
      <c r="A155" s="51"/>
      <c r="B155" s="52"/>
    </row>
    <row r="156" spans="1:2" ht="15">
      <c r="A156" s="51"/>
      <c r="B156" s="52"/>
    </row>
    <row r="157" spans="1:2" ht="15">
      <c r="A157" s="51"/>
      <c r="B157" s="52"/>
    </row>
    <row r="158" spans="1:2" ht="15">
      <c r="A158" s="51"/>
      <c r="B158" s="52"/>
    </row>
    <row r="159" spans="1:2" ht="15">
      <c r="A159" s="51"/>
      <c r="B159" s="52"/>
    </row>
    <row r="160" spans="1:2" ht="15">
      <c r="A160" s="51"/>
      <c r="B160" s="52"/>
    </row>
    <row r="161" spans="1:2" ht="15">
      <c r="A161" s="51"/>
      <c r="B161" s="52"/>
    </row>
    <row r="162" spans="1:2" ht="15">
      <c r="A162" s="51"/>
      <c r="B162" s="52"/>
    </row>
    <row r="163" spans="1:2" ht="15">
      <c r="A163" s="51"/>
      <c r="B163" s="52"/>
    </row>
    <row r="164" spans="1:2" ht="15">
      <c r="A164" s="51"/>
      <c r="B164" s="52"/>
    </row>
    <row r="165" spans="1:2" ht="15">
      <c r="A165" s="51"/>
      <c r="B165" s="52"/>
    </row>
    <row r="166" spans="1:2" ht="15">
      <c r="A166" s="51"/>
      <c r="B166" s="52"/>
    </row>
    <row r="167" spans="1:2" ht="15">
      <c r="A167" s="51"/>
      <c r="B167" s="52"/>
    </row>
    <row r="168" spans="1:2" ht="15">
      <c r="A168" s="51"/>
      <c r="B168" s="52"/>
    </row>
    <row r="169" spans="1:2" ht="15">
      <c r="A169" s="51"/>
      <c r="B169" s="52"/>
    </row>
    <row r="170" spans="1:2" ht="15">
      <c r="A170" s="51"/>
      <c r="B170" s="52"/>
    </row>
    <row r="171" spans="1:2" ht="15">
      <c r="A171" s="51"/>
      <c r="B171" s="52"/>
    </row>
    <row r="172" spans="1:2" ht="15">
      <c r="A172" s="51"/>
      <c r="B172" s="52"/>
    </row>
    <row r="173" spans="1:2" ht="15">
      <c r="A173" s="51"/>
      <c r="B173" s="52"/>
    </row>
    <row r="174" spans="1:2" ht="15">
      <c r="A174" s="51"/>
      <c r="B174" s="52"/>
    </row>
    <row r="175" spans="1:2" ht="15">
      <c r="A175" s="51"/>
      <c r="B175" s="52"/>
    </row>
    <row r="176" spans="1:2" ht="15">
      <c r="A176" s="51"/>
      <c r="B176" s="52"/>
    </row>
    <row r="177" spans="1:2" ht="15">
      <c r="A177" s="51"/>
      <c r="B177" s="52"/>
    </row>
    <row r="178" spans="1:2" ht="15">
      <c r="A178" s="51"/>
      <c r="B178" s="52"/>
    </row>
    <row r="179" spans="1:2" ht="15">
      <c r="A179" s="51"/>
      <c r="B179" s="52"/>
    </row>
    <row r="180" spans="1:2" ht="15">
      <c r="A180" s="51"/>
      <c r="B180" s="52"/>
    </row>
    <row r="181" spans="1:2" ht="15">
      <c r="A181" s="51"/>
      <c r="B181" s="52"/>
    </row>
    <row r="182" spans="1:2" ht="15">
      <c r="A182" s="51"/>
      <c r="B182" s="52"/>
    </row>
    <row r="183" spans="1:2" ht="15">
      <c r="A183" s="51"/>
      <c r="B183" s="52"/>
    </row>
    <row r="184" spans="1:2" ht="15">
      <c r="A184" s="51"/>
      <c r="B184" s="52"/>
    </row>
    <row r="185" spans="1:2" ht="15">
      <c r="A185" s="51"/>
      <c r="B185" s="52"/>
    </row>
    <row r="186" spans="1:2" ht="15">
      <c r="A186" s="51"/>
      <c r="B186" s="52"/>
    </row>
    <row r="187" spans="1:2" ht="15">
      <c r="A187" s="51"/>
      <c r="B187" s="52"/>
    </row>
    <row r="188" spans="1:2" ht="15">
      <c r="A188" s="51"/>
      <c r="B188" s="52"/>
    </row>
    <row r="189" spans="1:2" ht="15">
      <c r="A189" s="51"/>
      <c r="B189" s="52"/>
    </row>
    <row r="190" spans="1:2" ht="15">
      <c r="A190" s="51"/>
      <c r="B190" s="52"/>
    </row>
    <row r="191" spans="1:2" ht="15">
      <c r="A191" s="51"/>
      <c r="B191" s="52"/>
    </row>
    <row r="192" spans="1:2" ht="15">
      <c r="A192" s="51"/>
      <c r="B192" s="52"/>
    </row>
    <row r="193" spans="1:2" ht="15">
      <c r="A193" s="51"/>
      <c r="B193" s="52"/>
    </row>
    <row r="194" spans="1:2" ht="15">
      <c r="A194" s="51"/>
      <c r="B194" s="52"/>
    </row>
    <row r="195" spans="1:2" ht="15">
      <c r="A195" s="51"/>
      <c r="B195" s="52"/>
    </row>
    <row r="196" spans="1:2" ht="15">
      <c r="A196" s="51"/>
      <c r="B196" s="52"/>
    </row>
    <row r="197" spans="1:2" ht="15">
      <c r="A197" s="51"/>
      <c r="B197" s="52"/>
    </row>
    <row r="198" spans="1:2" ht="15">
      <c r="A198" s="51"/>
      <c r="B198" s="52"/>
    </row>
    <row r="199" spans="1:2" ht="15">
      <c r="A199" s="51"/>
      <c r="B199" s="52"/>
    </row>
    <row r="200" spans="1:2" ht="15">
      <c r="A200" s="51"/>
      <c r="B200" s="52"/>
    </row>
    <row r="201" spans="1:2" ht="15">
      <c r="A201" s="51"/>
      <c r="B201" s="52"/>
    </row>
    <row r="202" spans="1:2" ht="15">
      <c r="A202" s="51"/>
      <c r="B202" s="52"/>
    </row>
    <row r="203" spans="1:2" ht="15">
      <c r="A203" s="51"/>
      <c r="B203" s="52"/>
    </row>
    <row r="204" spans="1:2" ht="15">
      <c r="A204" s="51"/>
      <c r="B204" s="52"/>
    </row>
    <row r="205" spans="1:2" ht="15">
      <c r="A205" s="51"/>
      <c r="B205" s="52"/>
    </row>
    <row r="206" spans="1:2" ht="15">
      <c r="A206" s="51"/>
      <c r="B206" s="52"/>
    </row>
    <row r="207" spans="1:2" ht="15">
      <c r="A207" s="51"/>
      <c r="B207" s="52"/>
    </row>
    <row r="208" spans="1:2" ht="15">
      <c r="A208" s="51"/>
      <c r="B208" s="52"/>
    </row>
    <row r="209" spans="1:2" ht="15">
      <c r="A209" s="51"/>
      <c r="B209" s="52"/>
    </row>
    <row r="210" spans="1:2" ht="15">
      <c r="A210" s="51"/>
      <c r="B210" s="52"/>
    </row>
    <row r="211" spans="1:2" ht="15">
      <c r="A211" s="51"/>
      <c r="B211" s="52"/>
    </row>
    <row r="212" spans="1:2" ht="15">
      <c r="A212" s="51"/>
      <c r="B212" s="52"/>
    </row>
    <row r="213" spans="1:2" ht="15">
      <c r="A213" s="51"/>
      <c r="B213" s="52"/>
    </row>
    <row r="214" spans="1:2" ht="15">
      <c r="A214" s="51"/>
      <c r="B214" s="52"/>
    </row>
    <row r="215" spans="1:2" ht="15">
      <c r="A215" s="51"/>
      <c r="B215" s="52"/>
    </row>
    <row r="216" spans="1:2" ht="15">
      <c r="A216" s="51"/>
      <c r="B216" s="52"/>
    </row>
    <row r="217" spans="1:2" ht="15">
      <c r="A217" s="51"/>
      <c r="B217" s="52"/>
    </row>
    <row r="218" spans="1:2" ht="15">
      <c r="A218" s="51"/>
      <c r="B218" s="52"/>
    </row>
    <row r="219" spans="1:2" ht="15">
      <c r="A219" s="51"/>
      <c r="B219" s="52"/>
    </row>
    <row r="220" spans="1:2" ht="15">
      <c r="A220" s="51"/>
      <c r="B220" s="52"/>
    </row>
    <row r="221" spans="1:2" ht="15">
      <c r="A221" s="51"/>
      <c r="B221" s="52"/>
    </row>
    <row r="222" spans="1:2" ht="15">
      <c r="A222" s="51"/>
      <c r="B222" s="52"/>
    </row>
    <row r="223" spans="1:2" ht="15">
      <c r="A223" s="51"/>
      <c r="B223" s="52"/>
    </row>
    <row r="224" spans="1:2" ht="15">
      <c r="A224" s="51"/>
      <c r="B224" s="52"/>
    </row>
    <row r="225" spans="1:2" ht="15">
      <c r="A225" s="51"/>
      <c r="B225" s="52"/>
    </row>
    <row r="226" spans="1:2" ht="15">
      <c r="A226" s="51"/>
      <c r="B226" s="52"/>
    </row>
    <row r="227" spans="1:2" ht="15">
      <c r="A227" s="51"/>
      <c r="B227" s="52"/>
    </row>
    <row r="228" spans="1:2" ht="15">
      <c r="A228" s="51"/>
      <c r="B228" s="52"/>
    </row>
    <row r="229" spans="1:2" ht="15">
      <c r="A229" s="51"/>
      <c r="B229" s="52"/>
    </row>
    <row r="230" spans="1:2" ht="15">
      <c r="A230" s="51"/>
      <c r="B230" s="52"/>
    </row>
    <row r="231" spans="1:2" ht="15">
      <c r="A231" s="51"/>
      <c r="B231" s="52"/>
    </row>
    <row r="232" spans="1:2" ht="15">
      <c r="A232" s="51"/>
      <c r="B232" s="52"/>
    </row>
    <row r="233" spans="1:2" ht="15">
      <c r="A233" s="51"/>
      <c r="B233" s="52"/>
    </row>
    <row r="234" spans="1:2" ht="15">
      <c r="A234" s="51"/>
      <c r="B234" s="52"/>
    </row>
    <row r="235" spans="1:2" ht="15">
      <c r="A235" s="51"/>
      <c r="B235" s="52"/>
    </row>
    <row r="236" spans="1:2" ht="15">
      <c r="A236" s="51"/>
      <c r="B236" s="52"/>
    </row>
    <row r="237" spans="1:2" ht="15">
      <c r="A237" s="51"/>
      <c r="B237" s="52"/>
    </row>
    <row r="238" spans="1:2" ht="15">
      <c r="A238" s="51"/>
      <c r="B238" s="52"/>
    </row>
    <row r="239" spans="1:2" ht="15">
      <c r="A239" s="51"/>
      <c r="B239" s="52"/>
    </row>
    <row r="240" spans="1:2" ht="15">
      <c r="A240" s="51"/>
      <c r="B240" s="52"/>
    </row>
    <row r="241" spans="1:2" ht="15">
      <c r="A241" s="51"/>
      <c r="B241" s="52"/>
    </row>
    <row r="242" spans="1:2" ht="15">
      <c r="A242" s="51"/>
      <c r="B242" s="52"/>
    </row>
    <row r="243" spans="1:2" ht="15">
      <c r="A243" s="51"/>
      <c r="B243" s="52"/>
    </row>
    <row r="244" spans="1:2" ht="15">
      <c r="A244" s="51"/>
      <c r="B244" s="52"/>
    </row>
    <row r="245" spans="1:2" ht="15">
      <c r="A245" s="51"/>
      <c r="B245" s="52"/>
    </row>
    <row r="246" spans="1:2" ht="15">
      <c r="A246" s="51"/>
      <c r="B246" s="52"/>
    </row>
    <row r="247" spans="1:2" ht="15">
      <c r="A247" s="51"/>
      <c r="B247" s="52"/>
    </row>
    <row r="248" spans="1:2" ht="15">
      <c r="A248" s="51"/>
      <c r="B248" s="52"/>
    </row>
    <row r="249" spans="1:2" ht="15">
      <c r="A249" s="51"/>
      <c r="B249" s="52"/>
    </row>
    <row r="250" spans="1:2" ht="15">
      <c r="A250" s="51"/>
      <c r="B250" s="52"/>
    </row>
    <row r="251" spans="1:2" ht="15">
      <c r="A251" s="51"/>
      <c r="B251" s="52"/>
    </row>
    <row r="252" spans="1:2" ht="15">
      <c r="A252" s="51"/>
      <c r="B252" s="52"/>
    </row>
    <row r="253" spans="1:2" ht="15">
      <c r="A253" s="51"/>
      <c r="B253" s="52"/>
    </row>
    <row r="254" spans="1:2" ht="15">
      <c r="A254" s="51"/>
      <c r="B254" s="52"/>
    </row>
    <row r="255" spans="1:2" ht="15">
      <c r="A255" s="51"/>
      <c r="B255" s="52"/>
    </row>
    <row r="256" spans="1:2" ht="15">
      <c r="A256" s="51"/>
      <c r="B256" s="52"/>
    </row>
    <row r="257" spans="1:2" ht="15">
      <c r="A257" s="51"/>
      <c r="B257" s="52"/>
    </row>
    <row r="258" spans="1:2" ht="15">
      <c r="A258" s="51"/>
      <c r="B258" s="52"/>
    </row>
    <row r="259" spans="1:2" ht="15">
      <c r="A259" s="51"/>
      <c r="B259" s="52"/>
    </row>
    <row r="260" spans="1:2" ht="15">
      <c r="A260" s="51"/>
      <c r="B260" s="52"/>
    </row>
    <row r="261" spans="1:2" ht="15">
      <c r="A261" s="51"/>
      <c r="B261" s="52"/>
    </row>
    <row r="262" spans="1:2" ht="15">
      <c r="A262" s="51"/>
      <c r="B262" s="52"/>
    </row>
    <row r="263" spans="1:2" ht="15">
      <c r="A263" s="51"/>
      <c r="B263" s="52"/>
    </row>
    <row r="264" spans="1:2" ht="15">
      <c r="A264" s="51"/>
      <c r="B264" s="52"/>
    </row>
    <row r="265" spans="1:2" ht="15">
      <c r="A265" s="51"/>
      <c r="B265" s="52"/>
    </row>
    <row r="266" spans="1:2" ht="15">
      <c r="A266" s="51"/>
      <c r="B266" s="52"/>
    </row>
    <row r="267" spans="1:2" ht="15">
      <c r="A267" s="51"/>
      <c r="B267" s="52"/>
    </row>
    <row r="268" spans="1:2" ht="15">
      <c r="A268" s="51"/>
      <c r="B268" s="52"/>
    </row>
    <row r="269" spans="1:2" ht="15">
      <c r="A269" s="51"/>
      <c r="B269" s="52"/>
    </row>
    <row r="270" spans="1:2" ht="15">
      <c r="A270" s="51"/>
      <c r="B270" s="52"/>
    </row>
    <row r="271" spans="1:2" ht="15">
      <c r="A271" s="51"/>
      <c r="B271" s="52"/>
    </row>
    <row r="272" spans="1:2" ht="15">
      <c r="A272" s="51"/>
      <c r="B272" s="52"/>
    </row>
    <row r="273" spans="1:2" ht="15">
      <c r="A273" s="51"/>
      <c r="B273" s="52"/>
    </row>
    <row r="274" spans="1:2" ht="15">
      <c r="A274" s="51"/>
      <c r="B274" s="52"/>
    </row>
    <row r="275" spans="1:2" ht="15">
      <c r="A275" s="51"/>
      <c r="B275" s="52"/>
    </row>
    <row r="276" spans="1:2" ht="15">
      <c r="A276" s="51"/>
      <c r="B276" s="52"/>
    </row>
    <row r="277" spans="1:2" ht="15">
      <c r="A277" s="51"/>
      <c r="B277" s="52"/>
    </row>
    <row r="278" spans="1:2" ht="15">
      <c r="A278" s="51"/>
      <c r="B278" s="52"/>
    </row>
    <row r="279" spans="1:2" ht="15">
      <c r="A279" s="51"/>
      <c r="B279" s="52"/>
    </row>
    <row r="280" spans="1:2" ht="15">
      <c r="A280" s="51"/>
      <c r="B280" s="52"/>
    </row>
    <row r="281" spans="1:2" ht="15">
      <c r="A281" s="51"/>
      <c r="B281" s="52"/>
    </row>
    <row r="282" spans="1:2" ht="15">
      <c r="A282" s="51"/>
      <c r="B282" s="52"/>
    </row>
    <row r="283" spans="1:2" ht="15">
      <c r="A283" s="51"/>
      <c r="B283" s="52"/>
    </row>
    <row r="284" spans="1:2" ht="15">
      <c r="A284" s="51"/>
      <c r="B284" s="52"/>
    </row>
    <row r="285" spans="1:2" ht="15">
      <c r="A285" s="51"/>
      <c r="B285" s="52"/>
    </row>
    <row r="286" spans="1:2" ht="15">
      <c r="A286" s="51"/>
      <c r="B286" s="52"/>
    </row>
    <row r="287" spans="1:2" ht="15">
      <c r="A287" s="51"/>
      <c r="B287" s="52"/>
    </row>
    <row r="288" spans="1:2" ht="15">
      <c r="A288" s="51"/>
      <c r="B288" s="52"/>
    </row>
    <row r="289" spans="1:2" ht="15">
      <c r="A289" s="51"/>
      <c r="B289" s="52"/>
    </row>
    <row r="290" spans="1:2" ht="15">
      <c r="A290" s="51"/>
      <c r="B290" s="52"/>
    </row>
    <row r="291" spans="1:2" ht="15">
      <c r="A291" s="51"/>
      <c r="B291" s="52"/>
    </row>
    <row r="292" spans="1:2" ht="15">
      <c r="A292" s="51"/>
      <c r="B292" s="52"/>
    </row>
    <row r="293" spans="1:2" ht="15">
      <c r="A293" s="51"/>
      <c r="B293" s="52"/>
    </row>
    <row r="294" spans="1:2" ht="15">
      <c r="A294" s="51"/>
      <c r="B294" s="52"/>
    </row>
    <row r="295" spans="1:2" ht="15">
      <c r="A295" s="51"/>
      <c r="B295" s="52"/>
    </row>
    <row r="296" spans="1:2" ht="15">
      <c r="A296" s="51"/>
      <c r="B296" s="52"/>
    </row>
    <row r="297" spans="1:2" ht="15">
      <c r="A297" s="51"/>
      <c r="B297" s="52"/>
    </row>
    <row r="298" spans="1:2" ht="15">
      <c r="A298" s="51"/>
      <c r="B298" s="52"/>
    </row>
    <row r="299" spans="1:2" ht="15">
      <c r="A299" s="51"/>
      <c r="B299" s="52"/>
    </row>
    <row r="300" spans="1:2" ht="15">
      <c r="A300" s="51"/>
      <c r="B300" s="52"/>
    </row>
    <row r="301" spans="1:2" ht="15">
      <c r="A301" s="51"/>
      <c r="B301" s="52"/>
    </row>
    <row r="302" spans="1:2" ht="15">
      <c r="A302" s="51"/>
      <c r="B302" s="52"/>
    </row>
    <row r="303" spans="1:2" ht="15">
      <c r="A303" s="51"/>
      <c r="B303" s="52"/>
    </row>
    <row r="304" spans="1:2" ht="15">
      <c r="A304" s="51"/>
      <c r="B304" s="52"/>
    </row>
    <row r="305" spans="1:2" ht="15">
      <c r="A305" s="51"/>
      <c r="B305" s="52"/>
    </row>
    <row r="306" spans="1:2" ht="15">
      <c r="A306" s="51"/>
      <c r="B306" s="52"/>
    </row>
    <row r="307" spans="1:2" ht="15">
      <c r="A307" s="51"/>
      <c r="B307" s="52"/>
    </row>
    <row r="308" spans="1:2" ht="15">
      <c r="A308" s="51"/>
      <c r="B308" s="52"/>
    </row>
    <row r="309" spans="1:2" ht="15">
      <c r="A309" s="51"/>
      <c r="B309" s="52"/>
    </row>
    <row r="310" spans="1:2" ht="15">
      <c r="A310" s="51"/>
      <c r="B310" s="52"/>
    </row>
    <row r="311" spans="1:2" ht="15">
      <c r="A311" s="51"/>
      <c r="B311" s="52"/>
    </row>
    <row r="312" spans="1:2" ht="15">
      <c r="A312" s="51"/>
      <c r="B312" s="52"/>
    </row>
    <row r="313" spans="1:2" ht="15">
      <c r="A313" s="51"/>
      <c r="B313" s="52"/>
    </row>
    <row r="314" spans="1:2" ht="15">
      <c r="A314" s="51"/>
      <c r="B314" s="52"/>
    </row>
    <row r="315" spans="1:2" ht="15">
      <c r="A315" s="51"/>
      <c r="B315" s="52"/>
    </row>
    <row r="316" spans="1:2" ht="15">
      <c r="A316" s="51"/>
      <c r="B316" s="52"/>
    </row>
    <row r="317" spans="1:2" ht="15">
      <c r="A317" s="51"/>
      <c r="B317" s="52"/>
    </row>
    <row r="318" spans="1:2" ht="15">
      <c r="A318" s="51"/>
      <c r="B318" s="52"/>
    </row>
    <row r="319" spans="1:2" ht="15">
      <c r="A319" s="51"/>
      <c r="B319" s="52"/>
    </row>
    <row r="320" spans="1:2" ht="15">
      <c r="A320" s="51"/>
      <c r="B320" s="52"/>
    </row>
    <row r="321" spans="1:2" ht="15">
      <c r="A321" s="51"/>
      <c r="B321" s="52"/>
    </row>
    <row r="322" spans="1:2" ht="15">
      <c r="A322" s="51"/>
      <c r="B322" s="52"/>
    </row>
    <row r="323" spans="1:2" ht="15">
      <c r="A323" s="51"/>
      <c r="B323" s="52"/>
    </row>
    <row r="324" spans="1:2" ht="15">
      <c r="A324" s="51"/>
      <c r="B324" s="52"/>
    </row>
    <row r="325" spans="1:2" ht="15">
      <c r="A325" s="51"/>
      <c r="B325" s="52"/>
    </row>
    <row r="326" spans="1:2" ht="15">
      <c r="A326" s="51"/>
      <c r="B326" s="52"/>
    </row>
    <row r="327" spans="1:2" ht="15">
      <c r="A327" s="51"/>
      <c r="B327" s="52"/>
    </row>
    <row r="328" spans="1:2" ht="15">
      <c r="A328" s="51"/>
      <c r="B328" s="52"/>
    </row>
    <row r="329" spans="1:2" ht="15">
      <c r="A329" s="51"/>
      <c r="B329" s="52"/>
    </row>
    <row r="330" spans="1:2" ht="15">
      <c r="A330" s="51"/>
      <c r="B330" s="52"/>
    </row>
    <row r="331" spans="1:2" ht="15">
      <c r="A331" s="51"/>
      <c r="B331" s="52"/>
    </row>
    <row r="332" spans="1:2" ht="15">
      <c r="A332" s="51"/>
      <c r="B332" s="52"/>
    </row>
    <row r="333" spans="1:2" ht="15">
      <c r="A333" s="51"/>
      <c r="B333" s="52"/>
    </row>
    <row r="334" spans="1:2" ht="15">
      <c r="A334" s="51"/>
      <c r="B334" s="52"/>
    </row>
    <row r="335" spans="1:2" ht="15">
      <c r="A335" s="51"/>
      <c r="B335" s="52"/>
    </row>
    <row r="336" spans="1:2" ht="15">
      <c r="A336" s="51"/>
      <c r="B336" s="52"/>
    </row>
    <row r="337" spans="1:2" ht="15">
      <c r="A337" s="51"/>
      <c r="B337" s="52"/>
    </row>
    <row r="338" spans="1:2" ht="15">
      <c r="A338" s="51"/>
      <c r="B338" s="52"/>
    </row>
    <row r="339" spans="1:2" ht="15">
      <c r="A339" s="51"/>
      <c r="B339" s="52"/>
    </row>
    <row r="340" spans="1:2" ht="15">
      <c r="A340" s="51"/>
      <c r="B340" s="52"/>
    </row>
    <row r="341" spans="1:2" ht="15">
      <c r="A341" s="51"/>
      <c r="B341" s="52"/>
    </row>
    <row r="342" spans="1:2" ht="15">
      <c r="A342" s="51"/>
      <c r="B342" s="52"/>
    </row>
    <row r="343" spans="1:2" ht="15">
      <c r="A343" s="51"/>
      <c r="B343" s="52"/>
    </row>
    <row r="344" spans="1:2" ht="15">
      <c r="A344" s="51"/>
      <c r="B344" s="52"/>
    </row>
    <row r="345" spans="1:2" ht="15">
      <c r="A345" s="51"/>
      <c r="B345" s="52"/>
    </row>
    <row r="346" spans="1:2" ht="15">
      <c r="A346" s="51"/>
      <c r="B346" s="52"/>
    </row>
    <row r="347" spans="1:2" ht="15">
      <c r="A347" s="51"/>
      <c r="B347" s="52"/>
    </row>
    <row r="348" spans="1:2" ht="15">
      <c r="A348" s="51"/>
      <c r="B348" s="52"/>
    </row>
    <row r="349" spans="1:2" ht="15">
      <c r="A349" s="51"/>
      <c r="B349" s="52"/>
    </row>
    <row r="350" spans="1:2" ht="15">
      <c r="A350" s="51"/>
      <c r="B350" s="52"/>
    </row>
    <row r="351" spans="1:2" ht="15">
      <c r="A351" s="51"/>
      <c r="B351" s="52"/>
    </row>
    <row r="352" spans="1:2" ht="15">
      <c r="A352" s="51"/>
      <c r="B352" s="52"/>
    </row>
    <row r="353" spans="1:2" ht="15">
      <c r="A353" s="51"/>
      <c r="B353" s="52"/>
    </row>
    <row r="354" spans="1:2" ht="15">
      <c r="A354" s="51"/>
      <c r="B354" s="52"/>
    </row>
    <row r="355" spans="1:2" ht="15">
      <c r="A355" s="51"/>
      <c r="B355" s="52"/>
    </row>
    <row r="356" spans="1:2" ht="15">
      <c r="A356" s="51"/>
      <c r="B356" s="52"/>
    </row>
    <row r="357" spans="1:2" ht="15">
      <c r="A357" s="51"/>
      <c r="B357" s="52"/>
    </row>
    <row r="358" spans="1:2" ht="15">
      <c r="A358" s="51"/>
      <c r="B358" s="52"/>
    </row>
    <row r="359" spans="1:2" ht="15">
      <c r="A359" s="51"/>
      <c r="B359" s="52"/>
    </row>
    <row r="360" spans="1:2" ht="15">
      <c r="A360" s="51"/>
      <c r="B360" s="52"/>
    </row>
    <row r="361" spans="1:2" ht="15">
      <c r="A361" s="51"/>
      <c r="B361" s="52"/>
    </row>
    <row r="362" spans="1:2" ht="15">
      <c r="A362" s="51"/>
      <c r="B362" s="52"/>
    </row>
    <row r="363" spans="1:2" ht="15">
      <c r="A363" s="51"/>
      <c r="B363" s="52"/>
    </row>
    <row r="364" spans="1:2" ht="15">
      <c r="A364" s="51"/>
      <c r="B364" s="52"/>
    </row>
    <row r="365" spans="1:2" ht="15">
      <c r="A365" s="51"/>
      <c r="B365" s="52"/>
    </row>
    <row r="366" spans="1:2" ht="15">
      <c r="A366" s="51"/>
      <c r="B366" s="52"/>
    </row>
    <row r="367" spans="1:2" ht="15">
      <c r="A367" s="51"/>
      <c r="B367" s="52"/>
    </row>
    <row r="368" spans="1:2" ht="15">
      <c r="A368" s="51"/>
      <c r="B368" s="52"/>
    </row>
    <row r="369" spans="1:2" ht="15">
      <c r="A369" s="51"/>
      <c r="B369" s="52"/>
    </row>
    <row r="370" spans="1:2" ht="15">
      <c r="A370" s="51"/>
      <c r="B370" s="52"/>
    </row>
    <row r="371" spans="1:2" ht="15">
      <c r="A371" s="51"/>
      <c r="B371" s="52"/>
    </row>
    <row r="372" spans="1:2" ht="15">
      <c r="A372" s="51"/>
      <c r="B372" s="52"/>
    </row>
    <row r="373" spans="1:2" ht="15">
      <c r="A373" s="51"/>
      <c r="B373" s="52"/>
    </row>
    <row r="374" spans="1:2" ht="15">
      <c r="A374" s="51"/>
      <c r="B374" s="52"/>
    </row>
    <row r="375" spans="1:2" ht="15">
      <c r="A375" s="51"/>
      <c r="B375" s="52"/>
    </row>
    <row r="376" spans="1:2" ht="15">
      <c r="A376" s="51"/>
      <c r="B376" s="52"/>
    </row>
    <row r="377" spans="1:2" ht="15">
      <c r="A377" s="51"/>
      <c r="B377" s="52"/>
    </row>
    <row r="378" spans="1:2" ht="15">
      <c r="A378" s="51"/>
      <c r="B378" s="52"/>
    </row>
    <row r="379" spans="1:2" ht="15">
      <c r="A379" s="51"/>
      <c r="B379" s="52"/>
    </row>
    <row r="380" spans="1:2" ht="15">
      <c r="A380" s="51"/>
      <c r="B380" s="52"/>
    </row>
    <row r="381" spans="1:2" ht="15">
      <c r="A381" s="51"/>
      <c r="B381" s="52"/>
    </row>
    <row r="382" spans="1:2" ht="15">
      <c r="A382" s="51"/>
      <c r="B382" s="52"/>
    </row>
    <row r="383" spans="1:2" ht="15">
      <c r="A383" s="51"/>
      <c r="B383" s="52"/>
    </row>
    <row r="384" spans="1:2" ht="15">
      <c r="A384" s="51"/>
      <c r="B384" s="52"/>
    </row>
    <row r="385" spans="1:2" ht="15">
      <c r="A385" s="51"/>
      <c r="B385" s="52"/>
    </row>
    <row r="386" spans="1:2" ht="15">
      <c r="A386" s="51"/>
      <c r="B386" s="52"/>
    </row>
    <row r="387" spans="1:2" ht="15">
      <c r="A387" s="51"/>
      <c r="B387" s="52"/>
    </row>
    <row r="388" spans="1:2" ht="15">
      <c r="A388" s="51"/>
      <c r="B388" s="52"/>
    </row>
    <row r="389" spans="1:2" ht="15">
      <c r="A389" s="51"/>
      <c r="B389" s="52"/>
    </row>
    <row r="390" spans="1:2" ht="15">
      <c r="A390" s="51"/>
      <c r="B390" s="52"/>
    </row>
    <row r="391" spans="1:2" ht="15">
      <c r="A391" s="51"/>
      <c r="B391" s="52"/>
    </row>
    <row r="392" spans="1:2" ht="15">
      <c r="A392" s="51"/>
      <c r="B392" s="52"/>
    </row>
    <row r="393" spans="1:2" ht="15">
      <c r="A393" s="51"/>
      <c r="B393" s="52"/>
    </row>
    <row r="394" spans="1:2" ht="15">
      <c r="A394" s="51"/>
      <c r="B394" s="52"/>
    </row>
    <row r="395" spans="1:2" ht="15">
      <c r="A395" s="51"/>
      <c r="B395" s="52"/>
    </row>
    <row r="396" spans="1:2" ht="15">
      <c r="A396" s="51"/>
      <c r="B396" s="52"/>
    </row>
    <row r="397" spans="1:2" ht="15">
      <c r="A397" s="51"/>
      <c r="B397" s="52"/>
    </row>
    <row r="398" spans="1:2" ht="15">
      <c r="A398" s="51"/>
      <c r="B398" s="52"/>
    </row>
    <row r="399" spans="1:2" ht="15">
      <c r="A399" s="51"/>
      <c r="B399" s="52"/>
    </row>
    <row r="400" spans="1:2" ht="15">
      <c r="A400" s="51"/>
      <c r="B400" s="52"/>
    </row>
    <row r="401" spans="1:2" ht="15">
      <c r="A401" s="51"/>
      <c r="B401" s="52"/>
    </row>
    <row r="402" spans="1:2" ht="15">
      <c r="A402" s="51"/>
      <c r="B402" s="52"/>
    </row>
    <row r="403" spans="1:2" ht="15">
      <c r="A403" s="51"/>
      <c r="B403" s="52"/>
    </row>
    <row r="404" spans="1:2" ht="15">
      <c r="A404" s="51"/>
      <c r="B404" s="52"/>
    </row>
    <row r="405" spans="1:2" ht="15">
      <c r="A405" s="51"/>
      <c r="B405" s="52"/>
    </row>
    <row r="406" spans="1:2" ht="15">
      <c r="A406" s="51"/>
      <c r="B406" s="52"/>
    </row>
    <row r="407" spans="1:2" ht="15">
      <c r="A407" s="51"/>
      <c r="B407" s="52"/>
    </row>
    <row r="408" spans="1:2" ht="15">
      <c r="A408" s="51"/>
      <c r="B408" s="52"/>
    </row>
    <row r="409" spans="1:2" ht="15">
      <c r="A409" s="51"/>
      <c r="B409" s="52"/>
    </row>
    <row r="410" spans="1:2" ht="15">
      <c r="A410" s="51"/>
      <c r="B410" s="52"/>
    </row>
    <row r="411" spans="1:2" ht="15">
      <c r="A411" s="51"/>
      <c r="B411" s="52"/>
    </row>
    <row r="412" spans="1:2" ht="15">
      <c r="A412" s="51"/>
      <c r="B412" s="52"/>
    </row>
    <row r="413" spans="1:2" ht="15">
      <c r="A413" s="51"/>
      <c r="B413" s="52"/>
    </row>
    <row r="414" spans="1:2" ht="15">
      <c r="A414" s="51"/>
      <c r="B414" s="52"/>
    </row>
    <row r="415" spans="1:2" ht="15">
      <c r="A415" s="51"/>
      <c r="B415" s="52"/>
    </row>
    <row r="416" spans="1:2" ht="15">
      <c r="A416" s="51"/>
      <c r="B416" s="52"/>
    </row>
    <row r="417" spans="1:2" ht="15">
      <c r="A417" s="51"/>
      <c r="B417" s="52"/>
    </row>
    <row r="418" spans="1:2" ht="15">
      <c r="A418" s="51"/>
      <c r="B418" s="52"/>
    </row>
    <row r="419" spans="1:2" ht="15">
      <c r="A419" s="51"/>
      <c r="B419" s="52"/>
    </row>
    <row r="420" spans="1:2" ht="15">
      <c r="A420" s="51"/>
      <c r="B420" s="52"/>
    </row>
    <row r="421" spans="1:2" ht="15">
      <c r="A421" s="51"/>
      <c r="B421" s="52"/>
    </row>
    <row r="422" spans="1:2" ht="15">
      <c r="A422" s="51"/>
      <c r="B422" s="52"/>
    </row>
    <row r="423" spans="1:2" ht="15">
      <c r="A423" s="51"/>
      <c r="B423" s="52"/>
    </row>
    <row r="424" spans="1:2" ht="15">
      <c r="A424" s="51"/>
      <c r="B424" s="52"/>
    </row>
    <row r="425" spans="1:2" ht="15">
      <c r="A425" s="51"/>
      <c r="B425" s="52"/>
    </row>
    <row r="426" spans="1:2" ht="15">
      <c r="A426" s="51"/>
      <c r="B426" s="52"/>
    </row>
    <row r="427" spans="1:2" ht="15">
      <c r="A427" s="51"/>
      <c r="B427" s="52"/>
    </row>
    <row r="428" spans="1:2" ht="15">
      <c r="A428" s="51"/>
      <c r="B428" s="52"/>
    </row>
    <row r="429" spans="1:2" ht="15">
      <c r="A429" s="51"/>
      <c r="B429" s="52"/>
    </row>
    <row r="430" spans="1:2" ht="15">
      <c r="A430" s="51"/>
      <c r="B430" s="52"/>
    </row>
    <row r="431" spans="1:2" ht="15">
      <c r="A431" s="51"/>
      <c r="B431" s="52"/>
    </row>
    <row r="432" spans="1:2" ht="15">
      <c r="A432" s="51"/>
      <c r="B432" s="52"/>
    </row>
    <row r="433" spans="1:2" ht="15">
      <c r="A433" s="51"/>
      <c r="B433" s="52"/>
    </row>
    <row r="434" spans="1:2" ht="15">
      <c r="A434" s="51"/>
      <c r="B434" s="52"/>
    </row>
    <row r="435" spans="1:2" ht="15">
      <c r="A435" s="51"/>
      <c r="B435" s="52"/>
    </row>
    <row r="436" spans="1:2" ht="15">
      <c r="A436" s="51"/>
      <c r="B436" s="52"/>
    </row>
    <row r="437" spans="1:2" ht="15">
      <c r="A437" s="51"/>
      <c r="B437" s="52"/>
    </row>
    <row r="438" spans="1:2" ht="15">
      <c r="A438" s="51"/>
      <c r="B438" s="52"/>
    </row>
    <row r="439" spans="1:2" ht="15">
      <c r="A439" s="51"/>
      <c r="B439" s="52"/>
    </row>
    <row r="440" spans="1:2" ht="15">
      <c r="A440" s="51"/>
      <c r="B440" s="52"/>
    </row>
    <row r="441" spans="1:2" ht="15">
      <c r="A441" s="51"/>
      <c r="B441" s="52"/>
    </row>
    <row r="442" spans="1:2" ht="15">
      <c r="A442" s="51"/>
      <c r="B442" s="52"/>
    </row>
    <row r="443" spans="1:2" ht="15">
      <c r="A443" s="51"/>
      <c r="B443" s="52"/>
    </row>
    <row r="444" spans="1:2" ht="15">
      <c r="A444" s="51"/>
      <c r="B444" s="52"/>
    </row>
    <row r="445" spans="1:2" ht="15">
      <c r="A445" s="51"/>
      <c r="B445" s="52"/>
    </row>
    <row r="446" spans="1:2" ht="15">
      <c r="A446" s="51"/>
      <c r="B446" s="52"/>
    </row>
    <row r="447" spans="1:2" ht="15">
      <c r="A447" s="51"/>
      <c r="B447" s="52"/>
    </row>
    <row r="448" spans="1:2" ht="15">
      <c r="A448" s="51"/>
      <c r="B448" s="52"/>
    </row>
    <row r="449" spans="1:2" ht="15">
      <c r="A449" s="51"/>
      <c r="B449" s="52"/>
    </row>
    <row r="450" spans="1:2" ht="15">
      <c r="A450" s="51"/>
      <c r="B450" s="52"/>
    </row>
    <row r="451" spans="1:2" ht="15">
      <c r="A451" s="51"/>
      <c r="B451" s="52"/>
    </row>
    <row r="452" spans="1:2" ht="15">
      <c r="A452" s="51"/>
      <c r="B452" s="52"/>
    </row>
    <row r="453" spans="1:2" ht="15">
      <c r="A453" s="51"/>
      <c r="B453" s="52"/>
    </row>
    <row r="454" spans="1:2" ht="15">
      <c r="A454" s="51"/>
      <c r="B454" s="52"/>
    </row>
    <row r="455" spans="1:2" ht="15">
      <c r="A455" s="51"/>
      <c r="B455" s="52"/>
    </row>
    <row r="456" spans="1:2" ht="15">
      <c r="A456" s="51"/>
      <c r="B456" s="52"/>
    </row>
    <row r="457" spans="1:2" ht="15">
      <c r="A457" s="51"/>
      <c r="B457" s="52"/>
    </row>
    <row r="458" spans="1:2" ht="15">
      <c r="A458" s="51"/>
      <c r="B458" s="52"/>
    </row>
    <row r="459" spans="1:2" ht="15">
      <c r="A459" s="51"/>
      <c r="B459" s="52"/>
    </row>
    <row r="460" spans="1:2" ht="15">
      <c r="A460" s="51"/>
      <c r="B460" s="52"/>
    </row>
    <row r="461" spans="1:2" ht="15">
      <c r="A461" s="51"/>
      <c r="B461" s="52"/>
    </row>
    <row r="462" spans="1:2" ht="15">
      <c r="A462" s="51"/>
      <c r="B462" s="52"/>
    </row>
    <row r="463" spans="1:2" ht="15">
      <c r="A463" s="51"/>
      <c r="B463" s="52"/>
    </row>
    <row r="464" spans="1:2" ht="15">
      <c r="A464" s="51"/>
      <c r="B464" s="52"/>
    </row>
    <row r="465" spans="1:2" ht="15">
      <c r="A465" s="51"/>
      <c r="B465" s="52"/>
    </row>
    <row r="466" spans="1:2" ht="15">
      <c r="A466" s="51"/>
      <c r="B466" s="52"/>
    </row>
    <row r="467" spans="1:2" ht="15">
      <c r="A467" s="51"/>
      <c r="B467" s="52"/>
    </row>
    <row r="468" spans="1:2" ht="15">
      <c r="A468" s="51"/>
      <c r="B468" s="52"/>
    </row>
    <row r="469" spans="1:2" ht="15">
      <c r="A469" s="51"/>
      <c r="B469" s="52"/>
    </row>
    <row r="470" spans="1:2" ht="15">
      <c r="A470" s="51"/>
      <c r="B470" s="52"/>
    </row>
    <row r="471" spans="1:2" ht="15">
      <c r="A471" s="51"/>
      <c r="B471" s="52"/>
    </row>
    <row r="472" spans="1:2" ht="15">
      <c r="A472" s="51"/>
      <c r="B472" s="52"/>
    </row>
    <row r="473" spans="1:2" ht="15">
      <c r="A473" s="51"/>
      <c r="B473" s="52"/>
    </row>
    <row r="474" spans="1:2" ht="15">
      <c r="A474" s="51"/>
      <c r="B474" s="52"/>
    </row>
    <row r="475" spans="1:2" ht="15">
      <c r="A475" s="51"/>
      <c r="B475" s="52"/>
    </row>
    <row r="476" spans="1:2" ht="15">
      <c r="A476" s="51"/>
      <c r="B476" s="52"/>
    </row>
    <row r="477" spans="1:2" ht="15">
      <c r="A477" s="51"/>
      <c r="B477" s="52"/>
    </row>
    <row r="478" spans="1:2" ht="15">
      <c r="A478" s="51"/>
      <c r="B478" s="52"/>
    </row>
    <row r="479" spans="1:2" ht="15">
      <c r="A479" s="51"/>
      <c r="B479" s="52"/>
    </row>
    <row r="480" spans="1:2" ht="15">
      <c r="A480" s="51"/>
      <c r="B480" s="52"/>
    </row>
    <row r="481" spans="1:2" ht="15">
      <c r="A481" s="51"/>
      <c r="B481" s="52"/>
    </row>
    <row r="482" spans="1:2" ht="15">
      <c r="A482" s="51"/>
      <c r="B482" s="52"/>
    </row>
    <row r="483" spans="1:2" ht="15">
      <c r="A483" s="51"/>
      <c r="B483" s="52"/>
    </row>
    <row r="484" spans="1:2" ht="15">
      <c r="A484" s="51"/>
      <c r="B484" s="52"/>
    </row>
    <row r="485" spans="1:2" ht="15">
      <c r="A485" s="51"/>
      <c r="B485" s="52"/>
    </row>
    <row r="486" spans="1:2" ht="15">
      <c r="A486" s="51"/>
      <c r="B486" s="52"/>
    </row>
    <row r="487" spans="1:2" ht="15">
      <c r="A487" s="51"/>
      <c r="B487" s="52"/>
    </row>
    <row r="488" spans="1:2" ht="15">
      <c r="A488" s="51"/>
      <c r="B488" s="52"/>
    </row>
    <row r="489" spans="1:2" ht="15">
      <c r="A489" s="51"/>
      <c r="B489" s="52"/>
    </row>
    <row r="490" spans="1:2" ht="15">
      <c r="A490" s="51"/>
      <c r="B490" s="52"/>
    </row>
    <row r="491" spans="1:2" ht="15">
      <c r="A491" s="51"/>
      <c r="B491" s="52"/>
    </row>
    <row r="492" spans="1:2" ht="15">
      <c r="A492" s="51"/>
      <c r="B492" s="52"/>
    </row>
    <row r="493" spans="1:2" ht="15">
      <c r="A493" s="51"/>
      <c r="B493" s="52"/>
    </row>
    <row r="494" spans="1:2" ht="15">
      <c r="A494" s="51"/>
      <c r="B494" s="52"/>
    </row>
    <row r="495" spans="1:2" ht="15">
      <c r="A495" s="51"/>
      <c r="B495" s="52"/>
    </row>
    <row r="496" spans="1:2" ht="15">
      <c r="A496" s="51"/>
      <c r="B496" s="52"/>
    </row>
    <row r="497" spans="1:2" ht="15">
      <c r="A497" s="51"/>
      <c r="B497" s="52"/>
    </row>
    <row r="498" spans="1:2" ht="15">
      <c r="A498" s="51"/>
      <c r="B498" s="52"/>
    </row>
    <row r="499" spans="1:2" ht="15">
      <c r="A499" s="51"/>
      <c r="B499" s="52"/>
    </row>
    <row r="500" spans="1:2" ht="15">
      <c r="A500" s="51"/>
      <c r="B500" s="52"/>
    </row>
    <row r="501" spans="1:2" ht="15">
      <c r="A501" s="51"/>
      <c r="B501" s="52"/>
    </row>
    <row r="502" spans="1:2" ht="15">
      <c r="A502" s="51"/>
      <c r="B502" s="52"/>
    </row>
    <row r="503" spans="1:2" ht="15">
      <c r="A503" s="51"/>
      <c r="B503" s="52"/>
    </row>
    <row r="504" spans="1:2" ht="15">
      <c r="A504" s="51"/>
      <c r="B504" s="52"/>
    </row>
    <row r="505" spans="1:2" ht="15">
      <c r="A505" s="51"/>
      <c r="B505" s="52"/>
    </row>
    <row r="506" spans="1:2" ht="15">
      <c r="A506" s="51"/>
      <c r="B506" s="52"/>
    </row>
    <row r="507" spans="1:2" ht="15">
      <c r="A507" s="51"/>
      <c r="B507" s="52"/>
    </row>
    <row r="508" spans="1:2" ht="15">
      <c r="A508" s="51"/>
      <c r="B508" s="52"/>
    </row>
    <row r="509" spans="1:2" ht="15">
      <c r="A509" s="51"/>
      <c r="B509" s="52"/>
    </row>
    <row r="510" spans="1:2" ht="15">
      <c r="A510" s="51"/>
      <c r="B510" s="52"/>
    </row>
    <row r="511" spans="1:2" ht="15">
      <c r="A511" s="51"/>
      <c r="B511" s="52"/>
    </row>
    <row r="512" spans="1:2" ht="15">
      <c r="A512" s="51"/>
      <c r="B512" s="52"/>
    </row>
    <row r="513" spans="1:2" ht="15">
      <c r="A513" s="51"/>
      <c r="B513" s="52"/>
    </row>
    <row r="514" spans="1:2" ht="15">
      <c r="A514" s="51"/>
      <c r="B514" s="52"/>
    </row>
    <row r="515" spans="1:2" ht="15">
      <c r="A515" s="51"/>
      <c r="B515" s="52"/>
    </row>
    <row r="516" spans="1:2" ht="15">
      <c r="A516" s="51"/>
      <c r="B516" s="52"/>
    </row>
    <row r="517" spans="1:2" ht="15">
      <c r="A517" s="51"/>
      <c r="B517" s="52"/>
    </row>
    <row r="518" spans="1:2" ht="15">
      <c r="A518" s="51"/>
      <c r="B518" s="52"/>
    </row>
    <row r="519" spans="1:2" ht="15">
      <c r="A519" s="51"/>
      <c r="B519" s="52"/>
    </row>
    <row r="520" spans="1:2" ht="15">
      <c r="A520" s="51"/>
      <c r="B520" s="52"/>
    </row>
    <row r="521" spans="1:2" ht="15">
      <c r="A521" s="51"/>
      <c r="B521" s="52"/>
    </row>
    <row r="522" spans="1:2" ht="15">
      <c r="A522" s="51"/>
      <c r="B522" s="52"/>
    </row>
    <row r="523" spans="1:2" ht="15">
      <c r="A523" s="51"/>
      <c r="B523" s="52"/>
    </row>
    <row r="524" spans="1:2" ht="15">
      <c r="A524" s="51"/>
      <c r="B524" s="52"/>
    </row>
    <row r="525" spans="1:2" ht="15">
      <c r="A525" s="51"/>
      <c r="B525" s="52"/>
    </row>
    <row r="526" spans="1:2" ht="15">
      <c r="A526" s="51"/>
      <c r="B526" s="52"/>
    </row>
    <row r="527" spans="1:2" ht="15">
      <c r="A527" s="51"/>
      <c r="B527" s="52"/>
    </row>
    <row r="528" spans="1:2" ht="15">
      <c r="A528" s="51"/>
      <c r="B528" s="52"/>
    </row>
    <row r="529" spans="1:2" ht="15">
      <c r="A529" s="51"/>
      <c r="B529" s="52"/>
    </row>
    <row r="530" spans="1:2" ht="15">
      <c r="A530" s="51"/>
      <c r="B530" s="52"/>
    </row>
    <row r="531" spans="1:2" ht="15">
      <c r="A531" s="51"/>
      <c r="B531" s="52"/>
    </row>
    <row r="532" spans="1:2" ht="15">
      <c r="A532" s="51"/>
      <c r="B532" s="52"/>
    </row>
    <row r="533" spans="1:2" ht="15">
      <c r="A533" s="51"/>
      <c r="B533" s="52"/>
    </row>
    <row r="534" spans="1:2" ht="15">
      <c r="A534" s="51"/>
      <c r="B534" s="52"/>
    </row>
    <row r="535" spans="1:2" ht="15">
      <c r="A535" s="51"/>
      <c r="B535" s="52"/>
    </row>
    <row r="536" spans="1:2" ht="15">
      <c r="A536" s="51"/>
      <c r="B536" s="52"/>
    </row>
    <row r="537" spans="1:2" ht="15">
      <c r="A537" s="51"/>
      <c r="B537" s="52"/>
    </row>
    <row r="538" spans="1:2" ht="15">
      <c r="A538" s="51"/>
      <c r="B538" s="52"/>
    </row>
    <row r="539" spans="1:2" ht="15">
      <c r="A539" s="51"/>
      <c r="B539" s="52"/>
    </row>
    <row r="540" spans="1:2" ht="15">
      <c r="A540" s="51"/>
      <c r="B540" s="52"/>
    </row>
    <row r="541" spans="1:2" ht="15">
      <c r="A541" s="51"/>
      <c r="B541" s="52"/>
    </row>
    <row r="542" spans="1:2" ht="15">
      <c r="A542" s="51"/>
      <c r="B542" s="52"/>
    </row>
    <row r="543" spans="1:2" ht="15">
      <c r="A543" s="51"/>
      <c r="B543" s="52"/>
    </row>
    <row r="544" spans="1:2" ht="15">
      <c r="A544" s="51"/>
      <c r="B544" s="52"/>
    </row>
    <row r="545" spans="1:2" ht="15">
      <c r="A545" s="51"/>
      <c r="B545" s="52"/>
    </row>
    <row r="546" spans="1:2" ht="15">
      <c r="A546" s="51"/>
      <c r="B546" s="52"/>
    </row>
    <row r="547" spans="1:2" ht="15">
      <c r="A547" s="51"/>
      <c r="B547" s="52"/>
    </row>
    <row r="548" spans="1:2" ht="15">
      <c r="A548" s="51"/>
      <c r="B548" s="52"/>
    </row>
    <row r="549" spans="1:2" ht="15">
      <c r="A549" s="51"/>
      <c r="B549" s="52"/>
    </row>
    <row r="550" spans="1:2" ht="15">
      <c r="A550" s="51"/>
      <c r="B550" s="52"/>
    </row>
    <row r="551" spans="1:2" ht="15">
      <c r="A551" s="51"/>
      <c r="B551" s="52"/>
    </row>
    <row r="552" spans="1:2" ht="15">
      <c r="A552" s="51"/>
      <c r="B552" s="52"/>
    </row>
    <row r="553" spans="1:2" ht="15">
      <c r="A553" s="51"/>
      <c r="B553" s="52"/>
    </row>
    <row r="554" spans="1:2" ht="15">
      <c r="A554" s="51"/>
      <c r="B554" s="52"/>
    </row>
    <row r="555" spans="1:2" ht="15">
      <c r="A555" s="51"/>
      <c r="B555" s="52"/>
    </row>
    <row r="556" spans="1:2" ht="15">
      <c r="A556" s="51"/>
      <c r="B556" s="52"/>
    </row>
    <row r="557" spans="1:2" ht="15">
      <c r="A557" s="51"/>
      <c r="B557" s="52"/>
    </row>
    <row r="558" spans="1:2" ht="15">
      <c r="A558" s="51"/>
      <c r="B558" s="52"/>
    </row>
    <row r="559" spans="1:2" ht="15">
      <c r="A559" s="51"/>
      <c r="B559" s="52"/>
    </row>
    <row r="560" spans="1:2" ht="15">
      <c r="A560" s="51"/>
      <c r="B560" s="52"/>
    </row>
    <row r="561" spans="1:2" ht="15">
      <c r="A561" s="51"/>
      <c r="B561" s="52"/>
    </row>
    <row r="562" spans="1:2" ht="15">
      <c r="A562" s="51"/>
      <c r="B562" s="52"/>
    </row>
    <row r="563" spans="1:2" ht="15">
      <c r="A563" s="51"/>
      <c r="B563" s="52"/>
    </row>
    <row r="564" spans="1:2" ht="15">
      <c r="A564" s="51"/>
      <c r="B564" s="52"/>
    </row>
    <row r="565" spans="1:2" ht="15">
      <c r="A565" s="51"/>
      <c r="B565" s="52"/>
    </row>
    <row r="566" spans="1:2" ht="15">
      <c r="A566" s="51"/>
      <c r="B566" s="52"/>
    </row>
    <row r="567" spans="1:2" ht="15">
      <c r="A567" s="51"/>
      <c r="B567" s="52"/>
    </row>
    <row r="568" spans="1:2" ht="15">
      <c r="A568" s="51"/>
      <c r="B568" s="52"/>
    </row>
    <row r="569" spans="1:2" ht="15">
      <c r="A569" s="51"/>
      <c r="B569" s="52"/>
    </row>
    <row r="570" spans="1:2" ht="15">
      <c r="A570" s="51"/>
      <c r="B570" s="52"/>
    </row>
    <row r="571" spans="1:2" ht="15">
      <c r="A571" s="51"/>
      <c r="B571" s="52"/>
    </row>
    <row r="572" spans="1:2" ht="15">
      <c r="A572" s="51"/>
      <c r="B572" s="52"/>
    </row>
    <row r="573" spans="1:2" ht="15">
      <c r="A573" s="51"/>
      <c r="B573" s="52"/>
    </row>
    <row r="574" spans="1:2" ht="15">
      <c r="A574" s="51"/>
      <c r="B574" s="52"/>
    </row>
    <row r="575" spans="1:2" ht="15">
      <c r="A575" s="51"/>
      <c r="B575" s="52"/>
    </row>
    <row r="576" spans="1:2" ht="15">
      <c r="A576" s="51"/>
      <c r="B576" s="52"/>
    </row>
    <row r="577" spans="1:2" ht="15">
      <c r="A577" s="51"/>
      <c r="B577" s="52"/>
    </row>
    <row r="578" spans="1:2" ht="15">
      <c r="A578" s="51"/>
      <c r="B578" s="52"/>
    </row>
    <row r="579" spans="1:2" ht="15">
      <c r="A579" s="51"/>
      <c r="B579" s="52"/>
    </row>
    <row r="580" spans="1:2" ht="15">
      <c r="A580" s="51"/>
      <c r="B580" s="52"/>
    </row>
    <row r="581" spans="1:2" ht="15">
      <c r="A581" s="51"/>
      <c r="B581" s="52"/>
    </row>
    <row r="582" spans="1:2" ht="15">
      <c r="A582" s="51"/>
      <c r="B582" s="52"/>
    </row>
    <row r="583" spans="1:2" ht="15">
      <c r="A583" s="51"/>
      <c r="B583" s="52"/>
    </row>
    <row r="584" spans="1:2" ht="15">
      <c r="A584" s="51"/>
      <c r="B584" s="52"/>
    </row>
    <row r="585" spans="1:2" ht="15">
      <c r="A585" s="51"/>
      <c r="B585" s="52"/>
    </row>
    <row r="586" spans="1:2" ht="15">
      <c r="A586" s="51"/>
      <c r="B586" s="52"/>
    </row>
    <row r="587" spans="1:2" ht="15">
      <c r="A587" s="51"/>
      <c r="B587" s="52"/>
    </row>
    <row r="588" spans="1:2" ht="15">
      <c r="A588" s="51"/>
      <c r="B588" s="52"/>
    </row>
    <row r="589" spans="1:2" ht="15">
      <c r="A589" s="51"/>
      <c r="B589" s="52"/>
    </row>
    <row r="590" spans="1:2" ht="15">
      <c r="A590" s="51"/>
      <c r="B590" s="52"/>
    </row>
    <row r="591" spans="1:2" ht="15">
      <c r="A591" s="51"/>
      <c r="B591" s="52"/>
    </row>
    <row r="592" spans="1:2" ht="15">
      <c r="A592" s="51"/>
      <c r="B592" s="52"/>
    </row>
    <row r="593" spans="1:2" ht="15">
      <c r="A593" s="51"/>
      <c r="B593" s="52"/>
    </row>
    <row r="594" spans="1:2" ht="15">
      <c r="A594" s="51"/>
      <c r="B594" s="52"/>
    </row>
    <row r="595" spans="1:2" ht="15">
      <c r="A595" s="51"/>
      <c r="B595" s="52"/>
    </row>
    <row r="596" spans="1:2" ht="15">
      <c r="A596" s="51"/>
      <c r="B596" s="52"/>
    </row>
    <row r="597" spans="1:2" ht="15">
      <c r="A597" s="51"/>
      <c r="B597" s="52"/>
    </row>
    <row r="598" spans="1:2" ht="15">
      <c r="A598" s="51"/>
      <c r="B598" s="52"/>
    </row>
    <row r="599" spans="1:2" ht="15">
      <c r="A599" s="51"/>
      <c r="B599" s="52"/>
    </row>
    <row r="600" spans="1:2" ht="15">
      <c r="A600" s="51"/>
      <c r="B600" s="52"/>
    </row>
    <row r="601" spans="1:2" ht="15">
      <c r="A601" s="51"/>
      <c r="B601" s="52"/>
    </row>
    <row r="602" spans="1:2" ht="15">
      <c r="A602" s="51"/>
      <c r="B602" s="52"/>
    </row>
    <row r="603" spans="1:2" ht="15">
      <c r="A603" s="51"/>
      <c r="B603" s="52"/>
    </row>
    <row r="604" spans="1:2" ht="15">
      <c r="A604" s="51"/>
      <c r="B604" s="52"/>
    </row>
    <row r="605" spans="1:2" ht="15">
      <c r="A605" s="51"/>
      <c r="B605" s="52"/>
    </row>
    <row r="606" spans="1:2" ht="15">
      <c r="A606" s="51"/>
      <c r="B606" s="52"/>
    </row>
    <row r="607" spans="1:2" ht="15">
      <c r="A607" s="51"/>
      <c r="B607" s="52"/>
    </row>
    <row r="608" spans="1:2" ht="15">
      <c r="A608" s="51"/>
      <c r="B608" s="52"/>
    </row>
    <row r="609" spans="1:2" ht="15">
      <c r="A609" s="51"/>
      <c r="B609" s="52"/>
    </row>
    <row r="610" spans="1:2" ht="15">
      <c r="A610" s="51"/>
      <c r="B610" s="52"/>
    </row>
    <row r="611" spans="1:2" ht="15">
      <c r="A611" s="51"/>
      <c r="B611" s="52"/>
    </row>
    <row r="612" spans="1:2" ht="15">
      <c r="A612" s="51"/>
      <c r="B612" s="52"/>
    </row>
    <row r="613" spans="1:2" ht="15">
      <c r="A613" s="51"/>
      <c r="B613" s="52"/>
    </row>
    <row r="614" spans="1:2" ht="15">
      <c r="A614" s="51"/>
      <c r="B614" s="52"/>
    </row>
    <row r="615" spans="1:2" ht="15">
      <c r="A615" s="51"/>
      <c r="B615" s="52"/>
    </row>
    <row r="616" spans="1:2" ht="15">
      <c r="A616" s="51"/>
      <c r="B616" s="52"/>
    </row>
    <row r="617" spans="1:2" ht="15">
      <c r="A617" s="51"/>
      <c r="B617" s="52"/>
    </row>
    <row r="618" spans="1:2" ht="15">
      <c r="A618" s="51"/>
      <c r="B618" s="52"/>
    </row>
    <row r="619" spans="1:2" ht="15">
      <c r="A619" s="51"/>
      <c r="B619" s="52"/>
    </row>
    <row r="620" spans="1:2" ht="15">
      <c r="A620" s="51"/>
      <c r="B620" s="52"/>
    </row>
    <row r="621" spans="1:2" ht="15">
      <c r="A621" s="51"/>
      <c r="B621" s="52"/>
    </row>
    <row r="622" spans="1:2" ht="15">
      <c r="A622" s="51"/>
      <c r="B622" s="52"/>
    </row>
    <row r="623" spans="1:2" ht="15">
      <c r="A623" s="51"/>
      <c r="B623" s="52"/>
    </row>
    <row r="624" spans="1:2" ht="15">
      <c r="A624" s="51"/>
      <c r="B624" s="52"/>
    </row>
    <row r="625" spans="1:2" ht="15">
      <c r="A625" s="51"/>
      <c r="B625" s="52"/>
    </row>
    <row r="626" spans="1:2" ht="15">
      <c r="A626" s="51"/>
      <c r="B626" s="52"/>
    </row>
    <row r="627" spans="1:2" ht="15">
      <c r="A627" s="51"/>
      <c r="B627" s="52"/>
    </row>
    <row r="628" spans="1:2" ht="15">
      <c r="A628" s="51"/>
      <c r="B628" s="52"/>
    </row>
    <row r="629" spans="1:2" ht="15">
      <c r="A629" s="51"/>
      <c r="B629" s="52"/>
    </row>
    <row r="630" spans="1:2" ht="15">
      <c r="A630" s="51"/>
      <c r="B630" s="52"/>
    </row>
    <row r="631" spans="1:2" ht="15">
      <c r="A631" s="51"/>
      <c r="B631" s="52"/>
    </row>
    <row r="632" spans="1:2" ht="15">
      <c r="A632" s="51"/>
      <c r="B632" s="52"/>
    </row>
    <row r="633" spans="1:2" ht="15">
      <c r="A633" s="51"/>
      <c r="B633" s="52"/>
    </row>
    <row r="634" spans="1:2" ht="15">
      <c r="A634" s="51"/>
      <c r="B634" s="52"/>
    </row>
    <row r="635" spans="1:2" ht="15">
      <c r="A635" s="51"/>
      <c r="B635" s="52"/>
    </row>
    <row r="636" spans="1:2" ht="15">
      <c r="A636" s="51"/>
      <c r="B636" s="52"/>
    </row>
    <row r="637" spans="1:2" ht="15">
      <c r="A637" s="51"/>
      <c r="B637" s="52"/>
    </row>
    <row r="638" spans="1:2" ht="15">
      <c r="A638" s="51"/>
      <c r="B638" s="52"/>
    </row>
    <row r="639" spans="1:2" ht="15">
      <c r="A639" s="51"/>
      <c r="B639" s="52"/>
    </row>
    <row r="640" spans="1:2" ht="15">
      <c r="A640" s="51"/>
      <c r="B640" s="52"/>
    </row>
    <row r="641" spans="1:2" ht="15">
      <c r="A641" s="51"/>
      <c r="B641" s="52"/>
    </row>
    <row r="642" spans="1:2" ht="15">
      <c r="A642" s="51"/>
      <c r="B642" s="52"/>
    </row>
    <row r="643" spans="1:2" ht="15">
      <c r="A643" s="51"/>
      <c r="B643" s="52"/>
    </row>
    <row r="644" spans="1:2" ht="15">
      <c r="A644" s="51"/>
      <c r="B644" s="52"/>
    </row>
    <row r="645" spans="1:2" ht="15">
      <c r="A645" s="51"/>
      <c r="B645" s="52"/>
    </row>
    <row r="646" spans="1:2" ht="15">
      <c r="A646" s="51"/>
      <c r="B646" s="52"/>
    </row>
    <row r="647" spans="1:2" ht="15">
      <c r="A647" s="51"/>
      <c r="B647" s="52"/>
    </row>
    <row r="648" spans="1:2" ht="15">
      <c r="A648" s="51"/>
      <c r="B648" s="52"/>
    </row>
    <row r="649" spans="1:2" ht="15">
      <c r="A649" s="51"/>
      <c r="B649" s="52"/>
    </row>
    <row r="650" spans="1:2" ht="15">
      <c r="A650" s="51"/>
      <c r="B650" s="52"/>
    </row>
    <row r="651" spans="1:2" ht="15">
      <c r="A651" s="51"/>
      <c r="B651" s="52"/>
    </row>
    <row r="652" spans="1:2" ht="15">
      <c r="A652" s="51"/>
      <c r="B652" s="52"/>
    </row>
    <row r="653" spans="1:2" ht="15">
      <c r="A653" s="51"/>
      <c r="B653" s="52"/>
    </row>
    <row r="654" spans="1:2" ht="15">
      <c r="A654" s="51"/>
      <c r="B654" s="52"/>
    </row>
    <row r="655" spans="1:2" ht="15">
      <c r="A655" s="51"/>
      <c r="B655" s="52"/>
    </row>
    <row r="656" spans="1:2" ht="15">
      <c r="A656" s="51"/>
      <c r="B656" s="52"/>
    </row>
    <row r="657" spans="1:2" ht="15">
      <c r="A657" s="51"/>
      <c r="B657" s="52"/>
    </row>
    <row r="658" spans="1:2" ht="15">
      <c r="A658" s="51"/>
      <c r="B658" s="52"/>
    </row>
    <row r="659" spans="1:2" ht="15">
      <c r="A659" s="51"/>
      <c r="B659" s="52"/>
    </row>
    <row r="660" spans="1:2" ht="15">
      <c r="A660" s="51"/>
      <c r="B660" s="52"/>
    </row>
    <row r="661" spans="1:2" ht="15">
      <c r="A661" s="51"/>
      <c r="B661" s="52"/>
    </row>
    <row r="662" spans="1:2" ht="15">
      <c r="A662" s="51"/>
      <c r="B662" s="52"/>
    </row>
    <row r="663" spans="1:2" ht="15">
      <c r="A663" s="51"/>
      <c r="B663" s="52"/>
    </row>
    <row r="664" spans="1:2" ht="15">
      <c r="A664" s="51"/>
      <c r="B664" s="52"/>
    </row>
    <row r="665" spans="1:2" ht="15">
      <c r="A665" s="51"/>
      <c r="B665" s="52"/>
    </row>
    <row r="666" spans="1:2" ht="15">
      <c r="A666" s="51"/>
      <c r="B666" s="52"/>
    </row>
    <row r="667" spans="1:2" ht="15">
      <c r="A667" s="51"/>
      <c r="B667" s="52"/>
    </row>
    <row r="668" spans="1:2" ht="15">
      <c r="A668" s="51"/>
      <c r="B668" s="52"/>
    </row>
    <row r="669" spans="1:2" ht="15">
      <c r="A669" s="51"/>
      <c r="B669" s="52"/>
    </row>
    <row r="670" spans="1:2" ht="15">
      <c r="A670" s="51"/>
      <c r="B670" s="52"/>
    </row>
    <row r="671" spans="1:2" ht="15">
      <c r="A671" s="51"/>
      <c r="B671" s="52"/>
    </row>
    <row r="672" spans="1:2" ht="15">
      <c r="A672" s="51"/>
      <c r="B672" s="52"/>
    </row>
    <row r="673" spans="1:2" ht="15">
      <c r="A673" s="51"/>
      <c r="B673" s="52"/>
    </row>
    <row r="674" spans="1:2" ht="15">
      <c r="A674" s="51"/>
      <c r="B674" s="52"/>
    </row>
    <row r="675" spans="1:2" ht="15">
      <c r="A675" s="51"/>
      <c r="B675" s="52"/>
    </row>
    <row r="676" spans="1:2" ht="15">
      <c r="A676" s="51"/>
      <c r="B676" s="52"/>
    </row>
    <row r="677" spans="1:2" ht="15">
      <c r="A677" s="51"/>
      <c r="B677" s="52"/>
    </row>
    <row r="678" spans="1:2" ht="15">
      <c r="A678" s="51"/>
      <c r="B678" s="52"/>
    </row>
    <row r="679" spans="1:2" ht="15">
      <c r="A679" s="51"/>
      <c r="B679" s="52"/>
    </row>
    <row r="680" spans="1:2" ht="15">
      <c r="A680" s="51"/>
      <c r="B680" s="52"/>
    </row>
    <row r="681" spans="1:2" ht="15">
      <c r="A681" s="51"/>
      <c r="B681" s="52"/>
    </row>
    <row r="682" spans="1:2" ht="15">
      <c r="A682" s="51"/>
      <c r="B682" s="52"/>
    </row>
    <row r="683" spans="1:2" ht="15">
      <c r="A683" s="51"/>
      <c r="B683" s="52"/>
    </row>
    <row r="684" spans="1:2" ht="15">
      <c r="A684" s="51"/>
      <c r="B684" s="52"/>
    </row>
    <row r="685" spans="1:2" ht="15">
      <c r="A685" s="51"/>
      <c r="B685" s="52"/>
    </row>
    <row r="686" spans="1:2" ht="15">
      <c r="A686" s="51"/>
      <c r="B686" s="52"/>
    </row>
    <row r="687" spans="1:2" ht="15">
      <c r="A687" s="51"/>
      <c r="B687" s="52"/>
    </row>
    <row r="688" spans="1:2" ht="15">
      <c r="A688" s="51"/>
      <c r="B688" s="52"/>
    </row>
    <row r="689" spans="1:2" ht="15">
      <c r="A689" s="51"/>
      <c r="B689" s="52"/>
    </row>
    <row r="690" spans="1:2" ht="15">
      <c r="A690" s="51"/>
      <c r="B690" s="52"/>
    </row>
    <row r="691" spans="1:2" ht="15">
      <c r="A691" s="51"/>
      <c r="B691" s="52"/>
    </row>
    <row r="692" spans="1:2" ht="15">
      <c r="A692" s="51"/>
      <c r="B692" s="52"/>
    </row>
    <row r="693" spans="1:2" ht="15">
      <c r="A693" s="51"/>
      <c r="B693" s="52"/>
    </row>
    <row r="694" spans="1:2" ht="15">
      <c r="A694" s="51"/>
      <c r="B694" s="52"/>
    </row>
    <row r="695" spans="1:2" ht="15">
      <c r="A695" s="51"/>
      <c r="B695" s="52"/>
    </row>
    <row r="696" spans="1:2" ht="15">
      <c r="A696" s="51"/>
      <c r="B696" s="52"/>
    </row>
    <row r="697" spans="1:2" ht="15">
      <c r="A697" s="51"/>
      <c r="B697" s="52"/>
    </row>
    <row r="698" spans="1:2" ht="15">
      <c r="A698" s="51"/>
      <c r="B698" s="52"/>
    </row>
    <row r="699" spans="1:2" ht="15">
      <c r="A699" s="51"/>
      <c r="B699" s="52"/>
    </row>
    <row r="700" spans="1:2" ht="15">
      <c r="A700" s="51"/>
      <c r="B700" s="52"/>
    </row>
    <row r="701" spans="1:2" ht="15">
      <c r="A701" s="51"/>
      <c r="B701" s="52"/>
    </row>
    <row r="702" spans="1:2" ht="15">
      <c r="A702" s="51"/>
      <c r="B702" s="52"/>
    </row>
    <row r="703" spans="1:2" ht="15">
      <c r="A703" s="51"/>
      <c r="B703" s="52"/>
    </row>
    <row r="704" spans="1:2" ht="15">
      <c r="A704" s="51"/>
      <c r="B704" s="52"/>
    </row>
    <row r="705" spans="1:2" ht="15">
      <c r="A705" s="51"/>
      <c r="B705" s="52"/>
    </row>
    <row r="706" spans="1:2" ht="15">
      <c r="A706" s="51"/>
      <c r="B706" s="52"/>
    </row>
    <row r="707" spans="1:2" ht="15">
      <c r="A707" s="51"/>
      <c r="B707" s="52"/>
    </row>
    <row r="708" spans="1:2" ht="15">
      <c r="A708" s="51"/>
      <c r="B708" s="52"/>
    </row>
    <row r="709" spans="1:2" ht="15">
      <c r="A709" s="51"/>
      <c r="B709" s="52"/>
    </row>
    <row r="710" spans="1:2" ht="15">
      <c r="A710" s="51"/>
      <c r="B710" s="52"/>
    </row>
    <row r="711" spans="1:2" ht="15">
      <c r="A711" s="51"/>
      <c r="B711" s="52"/>
    </row>
    <row r="712" spans="1:2" ht="15">
      <c r="A712" s="51"/>
      <c r="B712" s="52"/>
    </row>
    <row r="713" spans="1:2" ht="15">
      <c r="A713" s="51"/>
      <c r="B713" s="52"/>
    </row>
    <row r="714" spans="1:2" ht="15">
      <c r="A714" s="51"/>
      <c r="B714" s="52"/>
    </row>
    <row r="715" spans="1:2" ht="15">
      <c r="A715" s="51"/>
      <c r="B715" s="52"/>
    </row>
    <row r="716" spans="1:2" ht="15">
      <c r="A716" s="51"/>
      <c r="B716" s="52"/>
    </row>
    <row r="717" spans="1:2" ht="15">
      <c r="A717" s="51"/>
      <c r="B717" s="52"/>
    </row>
    <row r="718" spans="1:2" ht="15">
      <c r="A718" s="51"/>
      <c r="B718" s="52"/>
    </row>
    <row r="719" spans="1:2" ht="15">
      <c r="A719" s="51"/>
      <c r="B719" s="52"/>
    </row>
    <row r="720" spans="1:2" ht="15">
      <c r="A720" s="51"/>
      <c r="B720" s="52"/>
    </row>
    <row r="721" spans="1:2" ht="15">
      <c r="A721" s="51"/>
      <c r="B721" s="52"/>
    </row>
    <row r="722" spans="1:2" ht="15">
      <c r="A722" s="51"/>
      <c r="B722" s="52"/>
    </row>
    <row r="723" spans="1:2" ht="15">
      <c r="A723" s="51"/>
      <c r="B723" s="52"/>
    </row>
    <row r="724" spans="1:2" ht="15">
      <c r="A724" s="51"/>
      <c r="B724" s="52"/>
    </row>
    <row r="725" spans="1:2" ht="15">
      <c r="A725" s="51"/>
      <c r="B725" s="52"/>
    </row>
    <row r="726" spans="1:2" ht="15">
      <c r="A726" s="51"/>
      <c r="B726" s="52"/>
    </row>
    <row r="727" spans="1:2" ht="15">
      <c r="A727" s="51"/>
      <c r="B727" s="52"/>
    </row>
    <row r="728" spans="1:2" ht="15">
      <c r="A728" s="51"/>
      <c r="B728" s="52"/>
    </row>
    <row r="729" spans="1:2" ht="15">
      <c r="A729" s="51"/>
      <c r="B729" s="52"/>
    </row>
    <row r="730" spans="1:2" ht="15">
      <c r="A730" s="51"/>
      <c r="B730" s="52"/>
    </row>
    <row r="731" spans="1:2" ht="15">
      <c r="A731" s="51"/>
      <c r="B731" s="52"/>
    </row>
    <row r="732" spans="1:2" ht="15">
      <c r="A732" s="51"/>
      <c r="B732" s="52"/>
    </row>
    <row r="733" spans="1:2" ht="15">
      <c r="A733" s="51"/>
      <c r="B733" s="52"/>
    </row>
    <row r="734" spans="1:2" ht="15">
      <c r="A734" s="51"/>
      <c r="B734" s="52"/>
    </row>
    <row r="735" spans="1:2" ht="15">
      <c r="A735" s="51"/>
      <c r="B735" s="52"/>
    </row>
    <row r="736" spans="1:2" ht="15">
      <c r="A736" s="51"/>
      <c r="B736" s="52"/>
    </row>
    <row r="737" spans="1:2" ht="15">
      <c r="A737" s="51"/>
      <c r="B737" s="52"/>
    </row>
    <row r="738" spans="1:2" ht="15">
      <c r="A738" s="51"/>
      <c r="B738" s="52"/>
    </row>
    <row r="739" spans="1:2" ht="15">
      <c r="A739" s="51"/>
      <c r="B739" s="52"/>
    </row>
    <row r="740" spans="1:2" ht="15">
      <c r="A740" s="51"/>
      <c r="B740" s="52"/>
    </row>
    <row r="741" spans="1:2" ht="15">
      <c r="A741" s="51"/>
      <c r="B741" s="52"/>
    </row>
    <row r="742" spans="1:2" ht="15">
      <c r="A742" s="51"/>
      <c r="B742" s="52"/>
    </row>
    <row r="743" spans="1:2" ht="15">
      <c r="A743" s="51"/>
      <c r="B743" s="52"/>
    </row>
    <row r="744" spans="1:2" ht="15">
      <c r="A744" s="51"/>
      <c r="B744" s="52"/>
    </row>
    <row r="745" spans="1:2" ht="15">
      <c r="A745" s="51"/>
      <c r="B745" s="52"/>
    </row>
    <row r="746" spans="1:2" ht="15">
      <c r="A746" s="51"/>
      <c r="B746" s="52"/>
    </row>
    <row r="747" spans="1:2" ht="15">
      <c r="A747" s="51"/>
      <c r="B747" s="52"/>
    </row>
    <row r="748" spans="1:2" ht="15">
      <c r="A748" s="51"/>
      <c r="B748" s="52"/>
    </row>
    <row r="749" spans="1:2" ht="15">
      <c r="A749" s="51"/>
      <c r="B749" s="52"/>
    </row>
    <row r="750" spans="1:2" ht="15">
      <c r="A750" s="51"/>
      <c r="B750" s="52"/>
    </row>
    <row r="751" spans="1:2" ht="15">
      <c r="A751" s="51"/>
      <c r="B751" s="52"/>
    </row>
    <row r="752" spans="1:2" ht="15">
      <c r="A752" s="51"/>
      <c r="B752" s="52"/>
    </row>
    <row r="753" spans="1:2" ht="15">
      <c r="A753" s="51"/>
      <c r="B753" s="52"/>
    </row>
    <row r="754" spans="1:2" ht="15">
      <c r="A754" s="51"/>
      <c r="B754" s="52"/>
    </row>
    <row r="755" spans="1:2" ht="15">
      <c r="A755" s="51"/>
      <c r="B755" s="52"/>
    </row>
    <row r="756" spans="1:2" ht="15">
      <c r="A756" s="51"/>
      <c r="B756" s="52"/>
    </row>
    <row r="757" spans="1:2" ht="15">
      <c r="A757" s="51"/>
      <c r="B757" s="52"/>
    </row>
    <row r="758" spans="1:2" ht="15">
      <c r="A758" s="51"/>
      <c r="B758" s="52"/>
    </row>
    <row r="759" spans="1:2" ht="15">
      <c r="A759" s="51"/>
      <c r="B759" s="52"/>
    </row>
    <row r="760" spans="1:2" ht="15">
      <c r="A760" s="51"/>
      <c r="B760" s="52"/>
    </row>
    <row r="761" spans="1:2" ht="15">
      <c r="A761" s="51"/>
      <c r="B761" s="52"/>
    </row>
    <row r="762" spans="1:2" ht="15">
      <c r="A762" s="51"/>
      <c r="B762" s="52"/>
    </row>
    <row r="763" spans="1:2" ht="15">
      <c r="A763" s="51"/>
      <c r="B763" s="52"/>
    </row>
    <row r="764" spans="1:2" ht="15">
      <c r="A764" s="51"/>
      <c r="B764" s="52"/>
    </row>
    <row r="765" spans="1:2" ht="15">
      <c r="A765" s="51"/>
      <c r="B765" s="52"/>
    </row>
    <row r="766" spans="1:2" ht="15">
      <c r="A766" s="51"/>
      <c r="B766" s="52"/>
    </row>
    <row r="767" spans="1:2" ht="15">
      <c r="A767" s="51"/>
      <c r="B767" s="52"/>
    </row>
    <row r="768" spans="1:2" ht="15">
      <c r="A768" s="51"/>
      <c r="B768" s="52"/>
    </row>
    <row r="769" spans="1:2" ht="15">
      <c r="A769" s="51"/>
      <c r="B769" s="52"/>
    </row>
    <row r="770" spans="1:2" ht="15">
      <c r="A770" s="51"/>
      <c r="B770" s="52"/>
    </row>
    <row r="771" spans="1:2" ht="15">
      <c r="A771" s="51"/>
      <c r="B771" s="52"/>
    </row>
    <row r="772" spans="1:2" ht="15">
      <c r="A772" s="51"/>
      <c r="B772" s="52"/>
    </row>
    <row r="773" spans="1:2" ht="15">
      <c r="A773" s="51"/>
      <c r="B773" s="52"/>
    </row>
    <row r="774" spans="1:2" ht="15">
      <c r="A774" s="51"/>
      <c r="B774" s="52"/>
    </row>
    <row r="775" spans="1:2" ht="15">
      <c r="A775" s="51"/>
      <c r="B775" s="52"/>
    </row>
    <row r="776" spans="1:2" ht="15">
      <c r="A776" s="51"/>
      <c r="B776" s="52"/>
    </row>
    <row r="777" spans="1:2" ht="15">
      <c r="A777" s="51"/>
      <c r="B777" s="52"/>
    </row>
    <row r="778" spans="1:2" ht="15">
      <c r="A778" s="51"/>
      <c r="B778" s="52"/>
    </row>
    <row r="779" spans="1:2" ht="15">
      <c r="A779" s="51"/>
      <c r="B779" s="52"/>
    </row>
    <row r="780" spans="1:2" ht="15">
      <c r="A780" s="51"/>
      <c r="B780" s="52"/>
    </row>
    <row r="781" spans="1:2" ht="15">
      <c r="A781" s="51"/>
      <c r="B781" s="52"/>
    </row>
    <row r="782" spans="1:2" ht="15">
      <c r="A782" s="51"/>
      <c r="B782" s="52"/>
    </row>
    <row r="783" spans="1:2" ht="15">
      <c r="A783" s="51"/>
      <c r="B783" s="52"/>
    </row>
    <row r="784" spans="1:2" ht="15">
      <c r="A784" s="51"/>
      <c r="B784" s="52"/>
    </row>
    <row r="785" spans="1:2" ht="15">
      <c r="A785" s="51"/>
      <c r="B785" s="52"/>
    </row>
    <row r="786" spans="1:2" ht="15">
      <c r="A786" s="51"/>
      <c r="B786" s="52"/>
    </row>
    <row r="787" spans="1:2" ht="15">
      <c r="A787" s="51"/>
      <c r="B787" s="52"/>
    </row>
    <row r="788" spans="1:2" ht="15">
      <c r="A788" s="51"/>
      <c r="B788" s="52"/>
    </row>
    <row r="789" spans="1:2" ht="15">
      <c r="A789" s="51"/>
      <c r="B789" s="52"/>
    </row>
    <row r="790" spans="1:2" ht="15">
      <c r="A790" s="51"/>
      <c r="B790" s="52"/>
    </row>
    <row r="791" spans="1:2" ht="15">
      <c r="A791" s="51"/>
      <c r="B791" s="52"/>
    </row>
    <row r="792" spans="1:2" ht="15">
      <c r="A792" s="51"/>
      <c r="B792" s="52"/>
    </row>
    <row r="793" spans="1:2" ht="15">
      <c r="A793" s="51"/>
      <c r="B793" s="52"/>
    </row>
    <row r="794" spans="1:2" ht="15">
      <c r="A794" s="51"/>
      <c r="B794" s="52"/>
    </row>
    <row r="795" spans="1:2" ht="15">
      <c r="A795" s="51"/>
      <c r="B795" s="52"/>
    </row>
    <row r="796" spans="1:2" ht="15">
      <c r="A796" s="51"/>
      <c r="B796" s="52"/>
    </row>
    <row r="797" spans="1:2" ht="15">
      <c r="A797" s="51"/>
      <c r="B797" s="52"/>
    </row>
    <row r="798" spans="1:2" ht="15">
      <c r="A798" s="51"/>
      <c r="B798" s="52"/>
    </row>
    <row r="799" spans="1:2" ht="15">
      <c r="A799" s="51"/>
      <c r="B799" s="52"/>
    </row>
    <row r="800" spans="1:2" ht="15">
      <c r="A800" s="51"/>
      <c r="B800" s="52"/>
    </row>
    <row r="801" spans="1:2" ht="15">
      <c r="A801" s="51"/>
      <c r="B801" s="52"/>
    </row>
    <row r="802" spans="1:2" ht="15">
      <c r="A802" s="51"/>
      <c r="B802" s="52"/>
    </row>
    <row r="803" spans="1:2" ht="15">
      <c r="A803" s="51"/>
      <c r="B803" s="52"/>
    </row>
    <row r="804" spans="1:2" ht="15">
      <c r="A804" s="51"/>
      <c r="B804" s="52"/>
    </row>
    <row r="805" spans="1:2" ht="15">
      <c r="A805" s="51"/>
      <c r="B805" s="52"/>
    </row>
    <row r="806" spans="1:2" ht="15">
      <c r="A806" s="51"/>
      <c r="B806" s="52"/>
    </row>
    <row r="807" spans="1:2" ht="15">
      <c r="A807" s="51"/>
      <c r="B807" s="52"/>
    </row>
    <row r="808" spans="1:2" ht="15">
      <c r="A808" s="51"/>
      <c r="B808" s="52"/>
    </row>
    <row r="809" spans="1:2" ht="15">
      <c r="A809" s="51"/>
      <c r="B809" s="52"/>
    </row>
    <row r="810" spans="1:2" ht="15">
      <c r="A810" s="51"/>
      <c r="B810" s="52"/>
    </row>
    <row r="811" spans="1:2" ht="15">
      <c r="A811" s="51"/>
      <c r="B811" s="52"/>
    </row>
    <row r="812" spans="1:2" ht="15">
      <c r="A812" s="51"/>
      <c r="B812" s="52"/>
    </row>
    <row r="813" spans="1:2" ht="15">
      <c r="A813" s="51"/>
      <c r="B813" s="52"/>
    </row>
    <row r="814" spans="1:2" ht="15">
      <c r="A814" s="51"/>
      <c r="B814" s="52"/>
    </row>
    <row r="815" spans="1:2" ht="15">
      <c r="A815" s="51"/>
      <c r="B815" s="52"/>
    </row>
    <row r="816" spans="1:2" ht="15">
      <c r="A816" s="51"/>
      <c r="B816" s="52"/>
    </row>
    <row r="817" spans="1:2" ht="15">
      <c r="A817" s="51"/>
      <c r="B817" s="52"/>
    </row>
    <row r="818" spans="1:2" ht="15">
      <c r="A818" s="51"/>
      <c r="B818" s="52"/>
    </row>
    <row r="819" spans="1:2" ht="15">
      <c r="A819" s="51"/>
      <c r="B819" s="52"/>
    </row>
    <row r="820" spans="1:2" ht="15">
      <c r="A820" s="51"/>
      <c r="B820" s="52"/>
    </row>
    <row r="821" spans="1:2" ht="15">
      <c r="A821" s="51"/>
      <c r="B821" s="52"/>
    </row>
    <row r="822" spans="1:2" ht="15">
      <c r="A822" s="51"/>
      <c r="B822" s="52"/>
    </row>
    <row r="823" spans="1:2" ht="15">
      <c r="A823" s="51"/>
      <c r="B823" s="52"/>
    </row>
    <row r="824" spans="1:2" ht="15">
      <c r="A824" s="51"/>
      <c r="B824" s="52"/>
    </row>
    <row r="825" spans="1:2" ht="15">
      <c r="A825" s="51"/>
      <c r="B825" s="52"/>
    </row>
    <row r="826" spans="1:2" ht="15">
      <c r="A826" s="51"/>
      <c r="B826" s="52"/>
    </row>
    <row r="827" spans="1:2" ht="15">
      <c r="A827" s="51"/>
      <c r="B827" s="52"/>
    </row>
    <row r="828" spans="1:2" ht="15">
      <c r="A828" s="51"/>
      <c r="B828" s="52"/>
    </row>
    <row r="829" spans="1:2" ht="15">
      <c r="A829" s="51"/>
      <c r="B829" s="52"/>
    </row>
    <row r="830" spans="1:2" ht="15">
      <c r="A830" s="51"/>
      <c r="B830" s="52"/>
    </row>
    <row r="831" spans="1:2" ht="15">
      <c r="A831" s="51"/>
      <c r="B831" s="52"/>
    </row>
    <row r="832" spans="1:2" ht="15">
      <c r="A832" s="51"/>
      <c r="B832" s="52"/>
    </row>
    <row r="833" spans="1:2" ht="15">
      <c r="A833" s="51"/>
      <c r="B833" s="52"/>
    </row>
    <row r="834" spans="1:2" ht="15">
      <c r="A834" s="51"/>
      <c r="B834" s="52"/>
    </row>
    <row r="835" spans="1:2" ht="15">
      <c r="A835" s="51"/>
      <c r="B835" s="52"/>
    </row>
    <row r="836" spans="1:2" ht="15">
      <c r="A836" s="51"/>
      <c r="B836" s="52"/>
    </row>
    <row r="837" spans="1:2" ht="15">
      <c r="A837" s="51"/>
      <c r="B837" s="52"/>
    </row>
    <row r="838" spans="1:2" ht="15">
      <c r="A838" s="51"/>
      <c r="B838" s="52"/>
    </row>
    <row r="839" spans="1:2" ht="15">
      <c r="A839" s="51"/>
      <c r="B839" s="52"/>
    </row>
    <row r="840" spans="1:2" ht="15">
      <c r="A840" s="51"/>
      <c r="B840" s="52"/>
    </row>
    <row r="841" spans="1:2" ht="15">
      <c r="A841" s="51"/>
      <c r="B841" s="52"/>
    </row>
    <row r="842" spans="1:2" ht="15">
      <c r="A842" s="51"/>
      <c r="B842" s="52"/>
    </row>
    <row r="843" spans="1:2" ht="15">
      <c r="A843" s="51"/>
      <c r="B843" s="52"/>
    </row>
    <row r="844" spans="1:2" ht="15">
      <c r="A844" s="51"/>
      <c r="B844" s="52"/>
    </row>
    <row r="845" spans="1:2" ht="15">
      <c r="A845" s="51"/>
      <c r="B845" s="52"/>
    </row>
    <row r="846" spans="1:2" ht="15">
      <c r="A846" s="51"/>
      <c r="B846" s="52"/>
    </row>
    <row r="847" spans="1:2" ht="15">
      <c r="A847" s="51"/>
      <c r="B847" s="52"/>
    </row>
    <row r="848" spans="1:2" ht="15">
      <c r="A848" s="51"/>
      <c r="B848" s="52"/>
    </row>
    <row r="849" spans="1:2" ht="15">
      <c r="A849" s="51"/>
      <c r="B849" s="52"/>
    </row>
    <row r="850" spans="1:2" ht="15">
      <c r="A850" s="51"/>
      <c r="B850" s="52"/>
    </row>
    <row r="851" spans="1:2" ht="15">
      <c r="A851" s="51"/>
      <c r="B851" s="52"/>
    </row>
    <row r="852" spans="1:2" ht="15">
      <c r="A852" s="51"/>
      <c r="B852" s="52"/>
    </row>
    <row r="853" spans="1:2" ht="15">
      <c r="A853" s="51"/>
      <c r="B853" s="52"/>
    </row>
    <row r="854" spans="1:2" ht="15">
      <c r="A854" s="51"/>
      <c r="B854" s="52"/>
    </row>
    <row r="855" spans="1:2" ht="15">
      <c r="A855" s="51"/>
      <c r="B855" s="52"/>
    </row>
    <row r="856" spans="1:2" ht="15">
      <c r="A856" s="51"/>
      <c r="B856" s="52"/>
    </row>
    <row r="857" spans="1:2" ht="15">
      <c r="A857" s="51"/>
      <c r="B857" s="52"/>
    </row>
    <row r="858" spans="1:2" ht="15">
      <c r="A858" s="51"/>
      <c r="B858" s="52"/>
    </row>
    <row r="859" spans="1:2" ht="15">
      <c r="A859" s="51"/>
      <c r="B859" s="52"/>
    </row>
    <row r="860" spans="1:2" ht="15">
      <c r="A860" s="51"/>
      <c r="B860" s="52"/>
    </row>
    <row r="861" spans="1:2" ht="15">
      <c r="A861" s="51"/>
      <c r="B861" s="52"/>
    </row>
    <row r="862" spans="1:2" ht="15">
      <c r="A862" s="51"/>
      <c r="B862" s="52"/>
    </row>
    <row r="863" spans="1:2" ht="15">
      <c r="A863" s="51"/>
      <c r="B863" s="52"/>
    </row>
    <row r="864" spans="1:2" ht="15">
      <c r="A864" s="51"/>
      <c r="B864" s="52"/>
    </row>
    <row r="865" spans="1:2" ht="15">
      <c r="A865" s="51"/>
      <c r="B865" s="52"/>
    </row>
    <row r="866" spans="1:2" ht="15">
      <c r="A866" s="51"/>
      <c r="B866" s="52"/>
    </row>
    <row r="867" spans="1:2" ht="15">
      <c r="A867" s="51"/>
      <c r="B867" s="52"/>
    </row>
    <row r="868" spans="1:2" ht="15">
      <c r="A868" s="51"/>
      <c r="B868" s="52"/>
    </row>
    <row r="869" spans="1:2" ht="15">
      <c r="A869" s="51"/>
      <c r="B869" s="52"/>
    </row>
    <row r="870" spans="1:2" ht="15">
      <c r="A870" s="51"/>
      <c r="B870" s="52"/>
    </row>
    <row r="871" spans="1:2" ht="15">
      <c r="A871" s="51"/>
      <c r="B871" s="52"/>
    </row>
    <row r="872" spans="1:2" ht="15">
      <c r="A872" s="51"/>
      <c r="B872" s="52"/>
    </row>
    <row r="873" spans="1:2" ht="15">
      <c r="A873" s="51"/>
      <c r="B873" s="52"/>
    </row>
    <row r="874" spans="1:2" ht="15">
      <c r="A874" s="51"/>
      <c r="B874" s="52"/>
    </row>
    <row r="875" spans="1:2" ht="15">
      <c r="A875" s="51"/>
      <c r="B875" s="52"/>
    </row>
    <row r="876" spans="1:2" ht="15">
      <c r="A876" s="51"/>
      <c r="B876" s="52"/>
    </row>
    <row r="877" spans="1:2" ht="15">
      <c r="A877" s="51"/>
      <c r="B877" s="52"/>
    </row>
    <row r="878" spans="1:2" ht="15">
      <c r="A878" s="51"/>
      <c r="B878" s="52"/>
    </row>
    <row r="879" spans="1:2" ht="15">
      <c r="A879" s="51"/>
      <c r="B879" s="52"/>
    </row>
    <row r="880" spans="1:2" ht="15">
      <c r="A880" s="51"/>
      <c r="B880" s="52"/>
    </row>
    <row r="881" spans="1:2" ht="15">
      <c r="A881" s="51"/>
      <c r="B881" s="52"/>
    </row>
    <row r="882" spans="1:2" ht="15">
      <c r="A882" s="51"/>
      <c r="B882" s="52"/>
    </row>
    <row r="883" spans="1:2" ht="15">
      <c r="A883" s="51"/>
      <c r="B883" s="52"/>
    </row>
    <row r="884" spans="1:2" ht="15">
      <c r="A884" s="51"/>
      <c r="B884" s="52"/>
    </row>
    <row r="885" spans="1:2" ht="15">
      <c r="A885" s="51"/>
      <c r="B885" s="52"/>
    </row>
    <row r="886" spans="1:2" ht="15">
      <c r="A886" s="51"/>
      <c r="B886" s="52"/>
    </row>
    <row r="887" spans="1:2" ht="15">
      <c r="A887" s="51"/>
      <c r="B887" s="52"/>
    </row>
    <row r="888" spans="1:2" ht="15">
      <c r="A888" s="51"/>
      <c r="B888" s="52"/>
    </row>
    <row r="889" spans="1:2" ht="15">
      <c r="A889" s="51"/>
      <c r="B889" s="52"/>
    </row>
    <row r="890" spans="1:2" ht="15">
      <c r="A890" s="51"/>
      <c r="B890" s="52"/>
    </row>
    <row r="891" spans="1:2" ht="15">
      <c r="A891" s="51"/>
      <c r="B891" s="52"/>
    </row>
    <row r="892" spans="1:2" ht="15">
      <c r="A892" s="51"/>
      <c r="B892" s="52"/>
    </row>
    <row r="893" spans="1:2" ht="15">
      <c r="A893" s="51"/>
      <c r="B893" s="52"/>
    </row>
    <row r="894" spans="1:2" ht="15">
      <c r="A894" s="51"/>
      <c r="B894" s="52"/>
    </row>
    <row r="895" spans="1:2" ht="15">
      <c r="A895" s="51"/>
      <c r="B895" s="52"/>
    </row>
    <row r="896" spans="1:2" ht="15">
      <c r="A896" s="51"/>
      <c r="B896" s="52"/>
    </row>
    <row r="897" spans="1:2" ht="15">
      <c r="A897" s="51"/>
      <c r="B897" s="52"/>
    </row>
    <row r="898" spans="1:2" ht="15">
      <c r="A898" s="51"/>
      <c r="B898" s="52"/>
    </row>
    <row r="899" spans="1:2" ht="15">
      <c r="A899" s="51"/>
      <c r="B899" s="52"/>
    </row>
    <row r="900" spans="1:2" ht="15">
      <c r="A900" s="51"/>
      <c r="B900" s="52"/>
    </row>
    <row r="901" spans="1:2" ht="15">
      <c r="A901" s="51"/>
      <c r="B901" s="52"/>
    </row>
    <row r="902" spans="1:2" ht="15">
      <c r="A902" s="51"/>
      <c r="B902" s="52"/>
    </row>
    <row r="903" spans="1:2" ht="15">
      <c r="A903" s="51"/>
      <c r="B903" s="52"/>
    </row>
    <row r="904" spans="1:2" ht="15">
      <c r="A904" s="51"/>
      <c r="B904" s="52"/>
    </row>
    <row r="905" spans="1:2" ht="15">
      <c r="A905" s="51"/>
      <c r="B905" s="52"/>
    </row>
    <row r="906" spans="1:2" ht="15">
      <c r="A906" s="51"/>
      <c r="B906" s="52"/>
    </row>
    <row r="907" spans="1:2" ht="15">
      <c r="A907" s="51"/>
      <c r="B907" s="52"/>
    </row>
    <row r="908" spans="1:2" ht="15">
      <c r="A908" s="51"/>
      <c r="B908" s="52"/>
    </row>
    <row r="909" spans="1:2" ht="15">
      <c r="A909" s="51"/>
      <c r="B909" s="52"/>
    </row>
    <row r="910" spans="1:2" ht="15">
      <c r="A910" s="51"/>
      <c r="B910" s="52"/>
    </row>
    <row r="911" spans="1:2" ht="15">
      <c r="A911" s="51"/>
      <c r="B911" s="52"/>
    </row>
    <row r="912" spans="1:2" ht="15">
      <c r="A912" s="51"/>
      <c r="B912" s="52"/>
    </row>
    <row r="913" spans="1:2" ht="15">
      <c r="A913" s="51"/>
      <c r="B913" s="52"/>
    </row>
    <row r="914" spans="1:2" ht="15">
      <c r="A914" s="51"/>
      <c r="B914" s="52"/>
    </row>
    <row r="915" spans="1:2" ht="15">
      <c r="A915" s="51"/>
      <c r="B915" s="52"/>
    </row>
    <row r="916" spans="1:2" ht="15">
      <c r="A916" s="51"/>
      <c r="B916" s="52"/>
    </row>
    <row r="917" spans="1:2" ht="15">
      <c r="A917" s="51"/>
      <c r="B917" s="52"/>
    </row>
    <row r="918" spans="1:2" ht="15">
      <c r="A918" s="51"/>
      <c r="B918" s="52"/>
    </row>
    <row r="919" spans="1:2" ht="15">
      <c r="A919" s="51"/>
      <c r="B919" s="52"/>
    </row>
    <row r="920" spans="1:2" ht="15">
      <c r="A920" s="51"/>
      <c r="B920" s="52"/>
    </row>
    <row r="921" spans="1:2" ht="15">
      <c r="A921" s="51"/>
      <c r="B921" s="52"/>
    </row>
    <row r="922" spans="1:2" ht="15">
      <c r="A922" s="51"/>
      <c r="B922" s="52"/>
    </row>
    <row r="923" spans="1:2" ht="15">
      <c r="A923" s="51"/>
      <c r="B923" s="52"/>
    </row>
    <row r="924" spans="1:2" ht="15">
      <c r="A924" s="51"/>
      <c r="B924" s="52"/>
    </row>
    <row r="925" spans="1:2" ht="15">
      <c r="A925" s="51"/>
      <c r="B925" s="52"/>
    </row>
    <row r="926" spans="1:2" ht="15">
      <c r="A926" s="51"/>
      <c r="B926" s="52"/>
    </row>
    <row r="927" spans="1:2" ht="15">
      <c r="A927" s="51"/>
      <c r="B927" s="52"/>
    </row>
    <row r="928" spans="1:2" ht="15">
      <c r="A928" s="51"/>
      <c r="B928" s="52"/>
    </row>
    <row r="929" spans="1:2" ht="15">
      <c r="A929" s="51"/>
      <c r="B929" s="52"/>
    </row>
    <row r="930" spans="1:2" ht="15">
      <c r="A930" s="51"/>
      <c r="B930" s="52"/>
    </row>
    <row r="931" spans="1:2" ht="15">
      <c r="A931" s="51"/>
      <c r="B931" s="52"/>
    </row>
    <row r="932" spans="1:2" ht="15">
      <c r="A932" s="51"/>
      <c r="B932" s="52"/>
    </row>
    <row r="933" spans="1:2" ht="15">
      <c r="A933" s="51"/>
      <c r="B933" s="52"/>
    </row>
    <row r="934" spans="1:2" ht="15">
      <c r="A934" s="51"/>
      <c r="B934" s="52"/>
    </row>
    <row r="935" spans="1:2" ht="15">
      <c r="A935" s="51"/>
      <c r="B935" s="52"/>
    </row>
    <row r="936" spans="1:2" ht="15">
      <c r="A936" s="51"/>
      <c r="B936" s="52"/>
    </row>
    <row r="937" spans="1:2" ht="15">
      <c r="A937" s="51"/>
      <c r="B937" s="52"/>
    </row>
    <row r="938" spans="1:2" ht="15">
      <c r="A938" s="51"/>
      <c r="B938" s="52"/>
    </row>
    <row r="939" spans="1:2" ht="15">
      <c r="A939" s="51"/>
      <c r="B939" s="52"/>
    </row>
    <row r="940" spans="1:2" ht="15">
      <c r="A940" s="51"/>
      <c r="B940" s="52"/>
    </row>
    <row r="941" spans="1:2" ht="15">
      <c r="A941" s="51"/>
      <c r="B941" s="52"/>
    </row>
    <row r="942" spans="1:2" ht="15">
      <c r="A942" s="51"/>
      <c r="B942" s="52"/>
    </row>
    <row r="943" spans="1:2" ht="15">
      <c r="A943" s="51"/>
      <c r="B943" s="52"/>
    </row>
    <row r="944" spans="1:2" ht="15">
      <c r="A944" s="51"/>
      <c r="B944" s="52"/>
    </row>
    <row r="945" spans="1:2" ht="15">
      <c r="A945" s="51"/>
      <c r="B945" s="52"/>
    </row>
    <row r="946" spans="1:2" ht="15">
      <c r="A946" s="51"/>
      <c r="B946" s="52"/>
    </row>
    <row r="947" spans="1:2" ht="15">
      <c r="A947" s="51"/>
      <c r="B947" s="52"/>
    </row>
    <row r="948" spans="1:2" ht="15">
      <c r="A948" s="51"/>
      <c r="B948" s="52"/>
    </row>
    <row r="949" spans="1:2" ht="15">
      <c r="A949" s="51"/>
      <c r="B949" s="52"/>
    </row>
    <row r="950" spans="1:2" ht="15">
      <c r="A950" s="51"/>
      <c r="B950" s="52"/>
    </row>
    <row r="951" spans="1:2" ht="15">
      <c r="A951" s="51"/>
      <c r="B951" s="52"/>
    </row>
    <row r="952" spans="1:2" ht="15">
      <c r="A952" s="51"/>
      <c r="B952" s="52"/>
    </row>
    <row r="953" spans="1:2" ht="15">
      <c r="A953" s="51"/>
      <c r="B953" s="52"/>
    </row>
    <row r="954" spans="1:2" ht="15">
      <c r="A954" s="51"/>
      <c r="B954" s="52"/>
    </row>
    <row r="955" spans="1:2" ht="15">
      <c r="A955" s="51"/>
      <c r="B955" s="52"/>
    </row>
    <row r="956" spans="1:2" ht="15">
      <c r="A956" s="51"/>
      <c r="B956" s="52"/>
    </row>
    <row r="957" spans="1:2" ht="15">
      <c r="A957" s="51"/>
      <c r="B957" s="52"/>
    </row>
    <row r="958" spans="1:2" ht="15">
      <c r="A958" s="51"/>
      <c r="B958" s="52"/>
    </row>
    <row r="959" spans="1:2" ht="15">
      <c r="A959" s="51"/>
      <c r="B959" s="52"/>
    </row>
    <row r="960" spans="1:2" ht="15">
      <c r="A960" s="51"/>
      <c r="B960" s="52"/>
    </row>
    <row r="961" spans="1:2" ht="15">
      <c r="A961" s="51"/>
      <c r="B961" s="52"/>
    </row>
    <row r="962" spans="1:2" ht="15">
      <c r="A962" s="51"/>
      <c r="B962" s="52"/>
    </row>
    <row r="963" spans="1:2" ht="15">
      <c r="A963" s="51"/>
      <c r="B963" s="52"/>
    </row>
    <row r="964" spans="1:2" ht="15">
      <c r="A964" s="51"/>
      <c r="B964" s="52"/>
    </row>
    <row r="965" spans="1:2" ht="15">
      <c r="A965" s="51"/>
      <c r="B965" s="52"/>
    </row>
    <row r="966" spans="1:2" ht="15">
      <c r="A966" s="51"/>
      <c r="B966" s="52"/>
    </row>
    <row r="967" spans="1:2" ht="15">
      <c r="A967" s="51"/>
      <c r="B967" s="52"/>
    </row>
    <row r="968" spans="1:2" ht="15">
      <c r="A968" s="51"/>
      <c r="B968" s="52"/>
    </row>
    <row r="969" spans="1:2" ht="15">
      <c r="A969" s="51"/>
      <c r="B969" s="52"/>
    </row>
    <row r="970" spans="1:2" ht="15">
      <c r="A970" s="51"/>
      <c r="B970" s="52"/>
    </row>
    <row r="971" spans="1:2" ht="15">
      <c r="A971" s="51"/>
      <c r="B971" s="52"/>
    </row>
    <row r="972" spans="1:2" ht="15">
      <c r="A972" s="51"/>
      <c r="B972" s="52"/>
    </row>
    <row r="973" spans="1:2" ht="15">
      <c r="A973" s="51"/>
      <c r="B973" s="52"/>
    </row>
    <row r="974" spans="1:2" ht="15">
      <c r="A974" s="51"/>
      <c r="B974" s="52"/>
    </row>
    <row r="975" spans="1:2" ht="15">
      <c r="A975" s="51"/>
      <c r="B975" s="52"/>
    </row>
    <row r="976" spans="1:2" ht="15">
      <c r="A976" s="51"/>
      <c r="B976" s="52"/>
    </row>
    <row r="977" spans="1:2" ht="15">
      <c r="A977" s="51"/>
      <c r="B977" s="52"/>
    </row>
    <row r="978" spans="1:2" ht="15">
      <c r="A978" s="51"/>
      <c r="B978" s="52"/>
    </row>
    <row r="979" spans="1:2" ht="15">
      <c r="A979" s="51"/>
      <c r="B979" s="52"/>
    </row>
    <row r="980" spans="1:2" ht="15">
      <c r="A980" s="51"/>
      <c r="B980" s="52"/>
    </row>
    <row r="981" spans="1:2" ht="15">
      <c r="A981" s="51"/>
      <c r="B981" s="52"/>
    </row>
    <row r="982" spans="1:2" ht="15">
      <c r="A982" s="51"/>
      <c r="B982" s="52"/>
    </row>
    <row r="983" spans="1:2" ht="15">
      <c r="A983" s="51"/>
      <c r="B983" s="52"/>
    </row>
    <row r="984" spans="1:2" ht="15">
      <c r="A984" s="51"/>
      <c r="B984" s="52"/>
    </row>
    <row r="985" spans="1:2" ht="15">
      <c r="A985" s="51"/>
      <c r="B985" s="52"/>
    </row>
    <row r="986" spans="1:2" ht="15">
      <c r="A986" s="51"/>
      <c r="B986" s="52"/>
    </row>
    <row r="987" spans="1:2" ht="15">
      <c r="A987" s="51"/>
      <c r="B987" s="52"/>
    </row>
    <row r="988" spans="1:2" ht="15">
      <c r="A988" s="51"/>
      <c r="B988" s="52"/>
    </row>
    <row r="989" spans="1:2" ht="15">
      <c r="A989" s="51"/>
      <c r="B989" s="52"/>
    </row>
    <row r="990" spans="1:2" ht="15">
      <c r="A990" s="51"/>
      <c r="B990" s="52"/>
    </row>
    <row r="991" spans="1:2" ht="15">
      <c r="A991" s="51"/>
      <c r="B991" s="52"/>
    </row>
    <row r="992" spans="1:2" ht="15">
      <c r="A992" s="51"/>
      <c r="B992" s="52"/>
    </row>
    <row r="993" spans="1:2" ht="15">
      <c r="A993" s="51"/>
      <c r="B993" s="52"/>
    </row>
    <row r="994" spans="1:2" ht="15">
      <c r="A994" s="51"/>
      <c r="B994" s="52"/>
    </row>
    <row r="995" spans="1:2" ht="15">
      <c r="A995" s="51"/>
      <c r="B995" s="52"/>
    </row>
    <row r="996" spans="1:2" ht="15">
      <c r="A996" s="51"/>
      <c r="B996" s="52"/>
    </row>
    <row r="997" spans="1:2" ht="15">
      <c r="A997" s="51"/>
      <c r="B997" s="52"/>
    </row>
    <row r="998" spans="1:2" ht="15">
      <c r="A998" s="51"/>
      <c r="B998" s="52"/>
    </row>
    <row r="999" spans="1:2" ht="15">
      <c r="A999" s="51"/>
      <c r="B999" s="52"/>
    </row>
    <row r="1000" spans="1:2" ht="15">
      <c r="A1000" s="51"/>
      <c r="B1000" s="52"/>
    </row>
    <row r="1001" spans="1:2" ht="15">
      <c r="A1001" s="53"/>
      <c r="B1001" s="5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8226-A396-4006-89B3-F11456CFF637}">
  <dimension ref="A1:N2"/>
  <sheetViews>
    <sheetView workbookViewId="0"/>
  </sheetViews>
  <sheetFormatPr defaultRowHeight="14.45"/>
  <cols>
    <col min="1" max="1" width="17.140625" bestFit="1" customWidth="1"/>
    <col min="2" max="2" width="7.85546875" bestFit="1" customWidth="1"/>
    <col min="3" max="3" width="8.140625" bestFit="1" customWidth="1"/>
    <col min="4" max="4" width="11.140625" bestFit="1" customWidth="1"/>
    <col min="5" max="8" width="12.42578125" bestFit="1" customWidth="1"/>
    <col min="9" max="9" width="14.85546875" bestFit="1" customWidth="1"/>
    <col min="10" max="11" width="7.5703125" bestFit="1" customWidth="1"/>
    <col min="12" max="12" width="6.42578125" bestFit="1" customWidth="1"/>
    <col min="13" max="13" width="7.5703125" bestFit="1" customWidth="1"/>
    <col min="14" max="14" width="17.85546875" bestFit="1" customWidth="1"/>
  </cols>
  <sheetData>
    <row r="1" spans="1:14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</row>
    <row r="2" spans="1:14">
      <c r="A2" s="47" t="s">
        <v>99</v>
      </c>
      <c r="B2" s="17" t="s">
        <v>18</v>
      </c>
      <c r="C2" s="17" t="s">
        <v>18</v>
      </c>
      <c r="D2" s="17" t="s">
        <v>18</v>
      </c>
      <c r="E2" s="48" t="s">
        <v>98</v>
      </c>
      <c r="F2" s="48" t="s">
        <v>98</v>
      </c>
      <c r="G2" s="48" t="s">
        <v>98</v>
      </c>
      <c r="H2" s="48" t="s">
        <v>98</v>
      </c>
      <c r="I2" s="17" t="s">
        <v>147</v>
      </c>
      <c r="J2" s="19">
        <v>0.625</v>
      </c>
      <c r="K2" s="19">
        <v>0.71875</v>
      </c>
      <c r="L2" s="19">
        <v>0.8125</v>
      </c>
      <c r="M2" s="19">
        <v>0.9375</v>
      </c>
      <c r="N2" s="20" t="s">
        <v>114</v>
      </c>
    </row>
  </sheetData>
  <conditionalFormatting sqref="A2:I2">
    <cfRule type="cellIs" dxfId="0" priority="1" operator="equal">
      <formula>"OFF"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Abellar, Manilyn -ND</dc:creator>
  <cp:keywords/>
  <dc:description/>
  <cp:lastModifiedBy/>
  <cp:revision/>
  <dcterms:created xsi:type="dcterms:W3CDTF">2026-10-19T19:40:00Z</dcterms:created>
  <dcterms:modified xsi:type="dcterms:W3CDTF">2026-10-31T02:37:46Z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a4eab-ab8d-4c7a-9c6e-0841db0ee2c9_Removed">
    <vt:lpwstr>False</vt:lpwstr>
  </property>
  <property fmtid="{D5CDD505-2E9C-101B-9397-08002B2CF9AE}" pid="3" name="MSIP_Label_fe5a4eab-ab8d-4c7a-9c6e-0841db0ee2c9_ActionId">
    <vt:lpwstr>459357a8-430d-4926-8769-089988e1fd3d</vt:lpwstr>
  </property>
  <property fmtid="{D5CDD505-2E9C-101B-9397-08002B2CF9AE}" pid="4" name="MSIP_Label_fe5a4eab-ab8d-4c7a-9c6e-0841db0ee2c9_Name">
    <vt:lpwstr>Public</vt:lpwstr>
  </property>
  <property fmtid="{D5CDD505-2E9C-101B-9397-08002B2CF9AE}" pid="5" name="MSIP_Label_fe5a4eab-ab8d-4c7a-9c6e-0841db0ee2c9_SetDate">
    <vt:lpwstr>2026-10-24T22:58:35Z</vt:lpwstr>
  </property>
  <property fmtid="{D5CDD505-2E9C-101B-9397-08002B2CF9AE}" pid="6" name="MSIP_Label_fe5a4eab-ab8d-4c7a-9c6e-0841db0ee2c9_SiteId">
    <vt:lpwstr>56b731a8-a2ac-4c32-bf6b-616810e913c6</vt:lpwstr>
  </property>
  <property fmtid="{D5CDD505-2E9C-101B-9397-08002B2CF9AE}" pid="7" name="MSIP_Label_fe5a4eab-ab8d-4c7a-9c6e-0841db0ee2c9_Enabled">
    <vt:lpwstr>True</vt:lpwstr>
  </property>
  <property fmtid="{D5CDD505-2E9C-101B-9397-08002B2CF9AE}" pid="8" name="MSIP_Label_fe5a4eab-ab8d-4c7a-9c6e-0841db0ee2c9_Extended_MSFT_Method">
    <vt:lpwstr>Privileged</vt:lpwstr>
  </property>
  <property fmtid="{D5CDD505-2E9C-101B-9397-08002B2CF9AE}" pid="9" name="Sensitivity">
    <vt:lpwstr>Public</vt:lpwstr>
  </property>
</Properties>
</file>